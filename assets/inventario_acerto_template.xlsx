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nabeiro-my.sharepoint.com/personal/carlos_a_castro_gruponabeiro_com/Documents/Brasil 2026/Logistica/Inventario Maio/"/>
    </mc:Choice>
  </mc:AlternateContent>
  <xr:revisionPtr revIDLastSave="37" documentId="8_{59FC0562-DFD1-48E0-B181-E02EA84365FB}" xr6:coauthVersionLast="47" xr6:coauthVersionMax="47" xr10:uidLastSave="{B3E318C2-94CA-4855-B3C2-8CFB1F8F534B}"/>
  <bookViews>
    <workbookView xWindow="-120" yWindow="-120" windowWidth="29040" windowHeight="15720" tabRatio="500" activeTab="2" xr2:uid="{00000000-000D-0000-FFFF-FFFF00000000}"/>
  </bookViews>
  <sheets>
    <sheet name="0008" sheetId="8" r:id="rId1"/>
    <sheet name="0009" sheetId="9" r:id="rId2"/>
    <sheet name="0011" sheetId="10" r:id="rId3"/>
    <sheet name="0022" sheetId="11" r:id="rId4"/>
    <sheet name="0044" sheetId="12" r:id="rId5"/>
  </sheets>
  <definedNames>
    <definedName name="_xlnm._FilterDatabase" localSheetId="1" hidden="1">'0009'!$A$5:$M$47</definedName>
    <definedName name="_xlnm._FilterDatabase" localSheetId="2" hidden="1">'0011'!$A$8:$WVR$413</definedName>
    <definedName name="_xlnm._FilterDatabase" localSheetId="3" hidden="1">'0022'!$A$5:$M$54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1" i="10" l="1"/>
  <c r="I66" i="12"/>
  <c r="H66" i="12"/>
  <c r="M65" i="12"/>
  <c r="L65" i="12"/>
  <c r="K65" i="12"/>
  <c r="J65" i="12"/>
  <c r="F65" i="12"/>
  <c r="L64" i="12"/>
  <c r="M64" i="12" s="1"/>
  <c r="K64" i="12"/>
  <c r="J64" i="12"/>
  <c r="F64" i="12"/>
  <c r="L63" i="12"/>
  <c r="M63" i="12" s="1"/>
  <c r="K63" i="12"/>
  <c r="J63" i="12"/>
  <c r="F63" i="12"/>
  <c r="M62" i="12"/>
  <c r="L62" i="12"/>
  <c r="K62" i="12"/>
  <c r="J62" i="12"/>
  <c r="F62" i="12"/>
  <c r="L61" i="12"/>
  <c r="M61" i="12" s="1"/>
  <c r="K61" i="12"/>
  <c r="J61" i="12"/>
  <c r="F61" i="12"/>
  <c r="M60" i="12"/>
  <c r="L60" i="12"/>
  <c r="K60" i="12"/>
  <c r="J60" i="12"/>
  <c r="F60" i="12"/>
  <c r="L59" i="12"/>
  <c r="M59" i="12" s="1"/>
  <c r="K59" i="12"/>
  <c r="J59" i="12"/>
  <c r="F59" i="12"/>
  <c r="M58" i="12"/>
  <c r="L58" i="12"/>
  <c r="K58" i="12"/>
  <c r="J58" i="12"/>
  <c r="F58" i="12"/>
  <c r="L57" i="12"/>
  <c r="M57" i="12" s="1"/>
  <c r="K57" i="12"/>
  <c r="J57" i="12"/>
  <c r="F57" i="12"/>
  <c r="M56" i="12"/>
  <c r="L56" i="12"/>
  <c r="K56" i="12"/>
  <c r="J56" i="12"/>
  <c r="F56" i="12"/>
  <c r="L55" i="12"/>
  <c r="M55" i="12" s="1"/>
  <c r="K55" i="12"/>
  <c r="J55" i="12"/>
  <c r="F55" i="12"/>
  <c r="M54" i="12"/>
  <c r="L54" i="12"/>
  <c r="K54" i="12"/>
  <c r="J54" i="12"/>
  <c r="F54" i="12"/>
  <c r="M53" i="12"/>
  <c r="L53" i="12"/>
  <c r="K53" i="12"/>
  <c r="J53" i="12"/>
  <c r="F53" i="12"/>
  <c r="M52" i="12"/>
  <c r="L52" i="12"/>
  <c r="K52" i="12"/>
  <c r="J52" i="12"/>
  <c r="F52" i="12"/>
  <c r="M51" i="12"/>
  <c r="L51" i="12"/>
  <c r="K51" i="12"/>
  <c r="J51" i="12"/>
  <c r="F51" i="12"/>
  <c r="L50" i="12"/>
  <c r="M50" i="12" s="1"/>
  <c r="K50" i="12"/>
  <c r="J50" i="12"/>
  <c r="F50" i="12"/>
  <c r="L49" i="12"/>
  <c r="M49" i="12" s="1"/>
  <c r="K49" i="12"/>
  <c r="J49" i="12"/>
  <c r="F49" i="12"/>
  <c r="L48" i="12"/>
  <c r="M48" i="12" s="1"/>
  <c r="K48" i="12"/>
  <c r="J48" i="12"/>
  <c r="F48" i="12"/>
  <c r="M47" i="12"/>
  <c r="L47" i="12"/>
  <c r="K47" i="12"/>
  <c r="J47" i="12"/>
  <c r="F47" i="12"/>
  <c r="M46" i="12"/>
  <c r="L46" i="12"/>
  <c r="K46" i="12"/>
  <c r="J46" i="12"/>
  <c r="F46" i="12"/>
  <c r="L45" i="12"/>
  <c r="M45" i="12" s="1"/>
  <c r="K45" i="12"/>
  <c r="J45" i="12"/>
  <c r="F45" i="12"/>
  <c r="M44" i="12"/>
  <c r="L44" i="12"/>
  <c r="K44" i="12"/>
  <c r="J44" i="12"/>
  <c r="F44" i="12"/>
  <c r="M43" i="12"/>
  <c r="L43" i="12"/>
  <c r="K43" i="12"/>
  <c r="J43" i="12"/>
  <c r="F43" i="12"/>
  <c r="M42" i="12"/>
  <c r="L42" i="12"/>
  <c r="K42" i="12"/>
  <c r="J42" i="12"/>
  <c r="F42" i="12"/>
  <c r="L41" i="12"/>
  <c r="M41" i="12" s="1"/>
  <c r="K41" i="12"/>
  <c r="J41" i="12"/>
  <c r="F41" i="12"/>
  <c r="M40" i="12"/>
  <c r="L40" i="12"/>
  <c r="K40" i="12"/>
  <c r="J40" i="12"/>
  <c r="F40" i="12"/>
  <c r="M39" i="12"/>
  <c r="L39" i="12"/>
  <c r="K39" i="12"/>
  <c r="J39" i="12"/>
  <c r="F39" i="12"/>
  <c r="M38" i="12"/>
  <c r="L38" i="12"/>
  <c r="K38" i="12"/>
  <c r="J38" i="12"/>
  <c r="F38" i="12"/>
  <c r="L37" i="12"/>
  <c r="M37" i="12" s="1"/>
  <c r="K37" i="12"/>
  <c r="J37" i="12"/>
  <c r="F37" i="12"/>
  <c r="M36" i="12"/>
  <c r="L36" i="12"/>
  <c r="K36" i="12"/>
  <c r="J36" i="12"/>
  <c r="F36" i="12"/>
  <c r="L35" i="12"/>
  <c r="M35" i="12" s="1"/>
  <c r="K35" i="12"/>
  <c r="J35" i="12"/>
  <c r="F35" i="12"/>
  <c r="L34" i="12"/>
  <c r="M34" i="12" s="1"/>
  <c r="K34" i="12"/>
  <c r="J34" i="12"/>
  <c r="F34" i="12"/>
  <c r="L33" i="12"/>
  <c r="M33" i="12" s="1"/>
  <c r="K33" i="12"/>
  <c r="J33" i="12"/>
  <c r="F33" i="12"/>
  <c r="M32" i="12"/>
  <c r="L32" i="12"/>
  <c r="K32" i="12"/>
  <c r="J32" i="12"/>
  <c r="F32" i="12"/>
  <c r="M31" i="12"/>
  <c r="L31" i="12"/>
  <c r="K31" i="12"/>
  <c r="J31" i="12"/>
  <c r="F31" i="12"/>
  <c r="M30" i="12"/>
  <c r="L30" i="12"/>
  <c r="K30" i="12"/>
  <c r="J30" i="12"/>
  <c r="F30" i="12"/>
  <c r="L29" i="12"/>
  <c r="M29" i="12" s="1"/>
  <c r="K29" i="12"/>
  <c r="J29" i="12"/>
  <c r="F29" i="12"/>
  <c r="M28" i="12"/>
  <c r="L28" i="12"/>
  <c r="K28" i="12"/>
  <c r="J28" i="12"/>
  <c r="F28" i="12"/>
  <c r="M27" i="12"/>
  <c r="L27" i="12"/>
  <c r="K27" i="12"/>
  <c r="J27" i="12"/>
  <c r="F27" i="12"/>
  <c r="L26" i="12"/>
  <c r="M26" i="12" s="1"/>
  <c r="K26" i="12"/>
  <c r="J26" i="12"/>
  <c r="F26" i="12"/>
  <c r="L25" i="12"/>
  <c r="M25" i="12" s="1"/>
  <c r="K25" i="12"/>
  <c r="J25" i="12"/>
  <c r="F25" i="12"/>
  <c r="M24" i="12"/>
  <c r="L24" i="12"/>
  <c r="K24" i="12"/>
  <c r="J24" i="12"/>
  <c r="F24" i="12"/>
  <c r="L23" i="12"/>
  <c r="M23" i="12" s="1"/>
  <c r="K23" i="12"/>
  <c r="J23" i="12"/>
  <c r="F23" i="12"/>
  <c r="M22" i="12"/>
  <c r="L22" i="12"/>
  <c r="K22" i="12"/>
  <c r="J22" i="12"/>
  <c r="F22" i="12"/>
  <c r="L21" i="12"/>
  <c r="M21" i="12" s="1"/>
  <c r="K21" i="12"/>
  <c r="J21" i="12"/>
  <c r="F21" i="12"/>
  <c r="M20" i="12"/>
  <c r="L20" i="12"/>
  <c r="K20" i="12"/>
  <c r="J20" i="12"/>
  <c r="F20" i="12"/>
  <c r="L19" i="12"/>
  <c r="M19" i="12" s="1"/>
  <c r="K19" i="12"/>
  <c r="J19" i="12"/>
  <c r="F19" i="12"/>
  <c r="M18" i="12"/>
  <c r="L18" i="12"/>
  <c r="K18" i="12"/>
  <c r="J18" i="12"/>
  <c r="F18" i="12"/>
  <c r="L17" i="12"/>
  <c r="M17" i="12" s="1"/>
  <c r="K17" i="12"/>
  <c r="J17" i="12"/>
  <c r="F17" i="12"/>
  <c r="M16" i="12"/>
  <c r="L16" i="12"/>
  <c r="K16" i="12"/>
  <c r="J16" i="12"/>
  <c r="F16" i="12"/>
  <c r="M15" i="12"/>
  <c r="L15" i="12"/>
  <c r="K15" i="12"/>
  <c r="J15" i="12"/>
  <c r="F15" i="12"/>
  <c r="L14" i="12"/>
  <c r="M14" i="12" s="1"/>
  <c r="K14" i="12"/>
  <c r="J14" i="12"/>
  <c r="F14" i="12"/>
  <c r="L13" i="12"/>
  <c r="M13" i="12" s="1"/>
  <c r="K13" i="12"/>
  <c r="J13" i="12"/>
  <c r="F13" i="12"/>
  <c r="M12" i="12"/>
  <c r="L12" i="12"/>
  <c r="K12" i="12"/>
  <c r="J12" i="12"/>
  <c r="F12" i="12"/>
  <c r="L11" i="12"/>
  <c r="M11" i="12" s="1"/>
  <c r="K11" i="12"/>
  <c r="J11" i="12"/>
  <c r="F11" i="12"/>
  <c r="M10" i="12"/>
  <c r="L10" i="12"/>
  <c r="K10" i="12"/>
  <c r="J10" i="12"/>
  <c r="F10" i="12"/>
  <c r="L9" i="12"/>
  <c r="L66" i="12" s="1"/>
  <c r="K9" i="12"/>
  <c r="K66" i="12" s="1"/>
  <c r="J9" i="12"/>
  <c r="J66" i="12" s="1"/>
  <c r="F9" i="12"/>
  <c r="I54" i="11"/>
  <c r="H54" i="11"/>
  <c r="L53" i="11"/>
  <c r="M53" i="11" s="1"/>
  <c r="K53" i="11"/>
  <c r="J53" i="11"/>
  <c r="F53" i="11"/>
  <c r="L52" i="11"/>
  <c r="M52" i="11" s="1"/>
  <c r="K52" i="11"/>
  <c r="J52" i="11"/>
  <c r="F52" i="11"/>
  <c r="L51" i="11"/>
  <c r="M51" i="11" s="1"/>
  <c r="K51" i="11"/>
  <c r="J51" i="11"/>
  <c r="F51" i="11"/>
  <c r="M50" i="11"/>
  <c r="L50" i="11"/>
  <c r="K50" i="11"/>
  <c r="J50" i="11"/>
  <c r="F50" i="11"/>
  <c r="L49" i="11"/>
  <c r="M49" i="11" s="1"/>
  <c r="K49" i="11"/>
  <c r="J49" i="11"/>
  <c r="F49" i="11"/>
  <c r="L48" i="11"/>
  <c r="M48" i="11" s="1"/>
  <c r="K48" i="11"/>
  <c r="J48" i="11"/>
  <c r="F48" i="11"/>
  <c r="L47" i="11"/>
  <c r="M47" i="11" s="1"/>
  <c r="K47" i="11"/>
  <c r="J47" i="11"/>
  <c r="F47" i="11"/>
  <c r="L46" i="11"/>
  <c r="M46" i="11" s="1"/>
  <c r="K46" i="11"/>
  <c r="J46" i="11"/>
  <c r="F46" i="11"/>
  <c r="L45" i="11"/>
  <c r="M45" i="11" s="1"/>
  <c r="K45" i="11"/>
  <c r="J45" i="11"/>
  <c r="F45" i="11"/>
  <c r="L44" i="11"/>
  <c r="M44" i="11" s="1"/>
  <c r="K44" i="11"/>
  <c r="J44" i="11"/>
  <c r="F44" i="11"/>
  <c r="L43" i="11"/>
  <c r="M43" i="11" s="1"/>
  <c r="K43" i="11"/>
  <c r="J43" i="11"/>
  <c r="F43" i="11"/>
  <c r="L42" i="11"/>
  <c r="M42" i="11" s="1"/>
  <c r="K42" i="11"/>
  <c r="J42" i="11"/>
  <c r="F42" i="11"/>
  <c r="L41" i="11"/>
  <c r="M41" i="11" s="1"/>
  <c r="K41" i="11"/>
  <c r="J41" i="11"/>
  <c r="F41" i="11"/>
  <c r="L40" i="11"/>
  <c r="M40" i="11" s="1"/>
  <c r="K40" i="11"/>
  <c r="J40" i="11"/>
  <c r="F40" i="11"/>
  <c r="L39" i="11"/>
  <c r="M39" i="11" s="1"/>
  <c r="K39" i="11"/>
  <c r="J39" i="11"/>
  <c r="F39" i="11"/>
  <c r="L38" i="11"/>
  <c r="M38" i="11" s="1"/>
  <c r="K38" i="11"/>
  <c r="J38" i="11"/>
  <c r="F38" i="11"/>
  <c r="L37" i="11"/>
  <c r="M37" i="11" s="1"/>
  <c r="K37" i="11"/>
  <c r="J37" i="11"/>
  <c r="F37" i="11"/>
  <c r="L36" i="11"/>
  <c r="M36" i="11" s="1"/>
  <c r="K36" i="11"/>
  <c r="J36" i="11"/>
  <c r="F36" i="11"/>
  <c r="L35" i="11"/>
  <c r="M35" i="11" s="1"/>
  <c r="K35" i="11"/>
  <c r="J35" i="11"/>
  <c r="F35" i="11"/>
  <c r="L34" i="11"/>
  <c r="M34" i="11" s="1"/>
  <c r="K34" i="11"/>
  <c r="J34" i="11"/>
  <c r="F34" i="11"/>
  <c r="L33" i="11"/>
  <c r="M33" i="11" s="1"/>
  <c r="K33" i="11"/>
  <c r="J33" i="11"/>
  <c r="F33" i="11"/>
  <c r="L32" i="11"/>
  <c r="M32" i="11" s="1"/>
  <c r="K32" i="11"/>
  <c r="J32" i="11"/>
  <c r="F32" i="11"/>
  <c r="L31" i="11"/>
  <c r="M31" i="11" s="1"/>
  <c r="K31" i="11"/>
  <c r="J31" i="11"/>
  <c r="F31" i="11"/>
  <c r="L30" i="11"/>
  <c r="M30" i="11" s="1"/>
  <c r="K30" i="11"/>
  <c r="J30" i="11"/>
  <c r="F30" i="11"/>
  <c r="L29" i="11"/>
  <c r="M29" i="11" s="1"/>
  <c r="K29" i="11"/>
  <c r="J29" i="11"/>
  <c r="F29" i="11"/>
  <c r="L28" i="11"/>
  <c r="M28" i="11" s="1"/>
  <c r="K28" i="11"/>
  <c r="J28" i="11"/>
  <c r="F28" i="11"/>
  <c r="L27" i="11"/>
  <c r="M27" i="11" s="1"/>
  <c r="K27" i="11"/>
  <c r="J27" i="11"/>
  <c r="F27" i="11"/>
  <c r="L26" i="11"/>
  <c r="M26" i="11" s="1"/>
  <c r="K26" i="11"/>
  <c r="J26" i="11"/>
  <c r="F26" i="11"/>
  <c r="L25" i="11"/>
  <c r="M25" i="11" s="1"/>
  <c r="K25" i="11"/>
  <c r="J25" i="11"/>
  <c r="F25" i="11"/>
  <c r="L24" i="11"/>
  <c r="M24" i="11" s="1"/>
  <c r="K24" i="11"/>
  <c r="J24" i="11"/>
  <c r="F24" i="11"/>
  <c r="L23" i="11"/>
  <c r="M23" i="11" s="1"/>
  <c r="K23" i="11"/>
  <c r="J23" i="11"/>
  <c r="F23" i="11"/>
  <c r="L22" i="11"/>
  <c r="M22" i="11" s="1"/>
  <c r="K22" i="11"/>
  <c r="J22" i="11"/>
  <c r="F22" i="11"/>
  <c r="L21" i="11"/>
  <c r="M21" i="11" s="1"/>
  <c r="K21" i="11"/>
  <c r="J21" i="11"/>
  <c r="F21" i="11"/>
  <c r="L20" i="11"/>
  <c r="M20" i="11" s="1"/>
  <c r="K20" i="11"/>
  <c r="J20" i="11"/>
  <c r="F20" i="11"/>
  <c r="L19" i="11"/>
  <c r="M19" i="11" s="1"/>
  <c r="K19" i="11"/>
  <c r="J19" i="11"/>
  <c r="F19" i="11"/>
  <c r="L18" i="11"/>
  <c r="M18" i="11" s="1"/>
  <c r="K18" i="11"/>
  <c r="J18" i="11"/>
  <c r="F18" i="11"/>
  <c r="L17" i="11"/>
  <c r="M17" i="11" s="1"/>
  <c r="K17" i="11"/>
  <c r="J17" i="11"/>
  <c r="F17" i="11"/>
  <c r="L16" i="11"/>
  <c r="M16" i="11" s="1"/>
  <c r="K16" i="11"/>
  <c r="J16" i="11"/>
  <c r="F16" i="11"/>
  <c r="L15" i="11"/>
  <c r="M15" i="11" s="1"/>
  <c r="K15" i="11"/>
  <c r="J15" i="11"/>
  <c r="F15" i="11"/>
  <c r="L14" i="11"/>
  <c r="M14" i="11" s="1"/>
  <c r="K14" i="11"/>
  <c r="J14" i="11"/>
  <c r="F14" i="11"/>
  <c r="L13" i="11"/>
  <c r="M13" i="11" s="1"/>
  <c r="K13" i="11"/>
  <c r="J13" i="11"/>
  <c r="F13" i="11"/>
  <c r="L12" i="11"/>
  <c r="M12" i="11" s="1"/>
  <c r="K12" i="11"/>
  <c r="J12" i="11"/>
  <c r="F12" i="11"/>
  <c r="L11" i="11"/>
  <c r="M11" i="11" s="1"/>
  <c r="K11" i="11"/>
  <c r="J11" i="11"/>
  <c r="F11" i="11"/>
  <c r="L10" i="11"/>
  <c r="M10" i="11" s="1"/>
  <c r="K10" i="11"/>
  <c r="J10" i="11"/>
  <c r="F10" i="11"/>
  <c r="L9" i="11"/>
  <c r="M9" i="11" s="1"/>
  <c r="K9" i="11"/>
  <c r="J9" i="11"/>
  <c r="F9" i="11"/>
  <c r="I413" i="10"/>
  <c r="H413" i="10"/>
  <c r="L412" i="10"/>
  <c r="M412" i="10" s="1"/>
  <c r="K412" i="10"/>
  <c r="J412" i="10"/>
  <c r="F412" i="10"/>
  <c r="L411" i="10"/>
  <c r="M411" i="10" s="1"/>
  <c r="K411" i="10"/>
  <c r="J411" i="10"/>
  <c r="F411" i="10"/>
  <c r="L410" i="10"/>
  <c r="M410" i="10" s="1"/>
  <c r="K410" i="10"/>
  <c r="J410" i="10"/>
  <c r="F410" i="10"/>
  <c r="L409" i="10"/>
  <c r="M409" i="10" s="1"/>
  <c r="K409" i="10"/>
  <c r="J409" i="10"/>
  <c r="F409" i="10"/>
  <c r="L408" i="10"/>
  <c r="M408" i="10" s="1"/>
  <c r="K408" i="10"/>
  <c r="J408" i="10"/>
  <c r="F408" i="10"/>
  <c r="L407" i="10"/>
  <c r="M407" i="10" s="1"/>
  <c r="K407" i="10"/>
  <c r="J407" i="10"/>
  <c r="F407" i="10"/>
  <c r="L406" i="10"/>
  <c r="M406" i="10" s="1"/>
  <c r="K406" i="10"/>
  <c r="J406" i="10"/>
  <c r="F406" i="10"/>
  <c r="L405" i="10"/>
  <c r="M405" i="10" s="1"/>
  <c r="K405" i="10"/>
  <c r="J405" i="10"/>
  <c r="F405" i="10"/>
  <c r="L404" i="10"/>
  <c r="M404" i="10" s="1"/>
  <c r="K404" i="10"/>
  <c r="J404" i="10"/>
  <c r="F404" i="10"/>
  <c r="L403" i="10"/>
  <c r="M403" i="10" s="1"/>
  <c r="K403" i="10"/>
  <c r="J403" i="10"/>
  <c r="F403" i="10"/>
  <c r="L402" i="10"/>
  <c r="M402" i="10" s="1"/>
  <c r="K402" i="10"/>
  <c r="J402" i="10"/>
  <c r="F402" i="10"/>
  <c r="L401" i="10"/>
  <c r="M401" i="10" s="1"/>
  <c r="K401" i="10"/>
  <c r="J401" i="10"/>
  <c r="F401" i="10"/>
  <c r="L400" i="10"/>
  <c r="M400" i="10" s="1"/>
  <c r="K400" i="10"/>
  <c r="J400" i="10"/>
  <c r="F400" i="10"/>
  <c r="L399" i="10"/>
  <c r="M399" i="10" s="1"/>
  <c r="K399" i="10"/>
  <c r="J399" i="10"/>
  <c r="F399" i="10"/>
  <c r="L398" i="10"/>
  <c r="M398" i="10" s="1"/>
  <c r="K398" i="10"/>
  <c r="J398" i="10"/>
  <c r="F398" i="10"/>
  <c r="L397" i="10"/>
  <c r="M397" i="10" s="1"/>
  <c r="K397" i="10"/>
  <c r="J397" i="10"/>
  <c r="F397" i="10"/>
  <c r="L396" i="10"/>
  <c r="M396" i="10" s="1"/>
  <c r="K396" i="10"/>
  <c r="J396" i="10"/>
  <c r="F396" i="10"/>
  <c r="L395" i="10"/>
  <c r="M395" i="10" s="1"/>
  <c r="K395" i="10"/>
  <c r="J395" i="10"/>
  <c r="F395" i="10"/>
  <c r="L394" i="10"/>
  <c r="M394" i="10" s="1"/>
  <c r="K394" i="10"/>
  <c r="J394" i="10"/>
  <c r="F394" i="10"/>
  <c r="L393" i="10"/>
  <c r="M393" i="10" s="1"/>
  <c r="K393" i="10"/>
  <c r="J393" i="10"/>
  <c r="F393" i="10"/>
  <c r="L392" i="10"/>
  <c r="M392" i="10" s="1"/>
  <c r="K392" i="10"/>
  <c r="J392" i="10"/>
  <c r="F392" i="10"/>
  <c r="L391" i="10"/>
  <c r="M391" i="10" s="1"/>
  <c r="K391" i="10"/>
  <c r="J391" i="10"/>
  <c r="F391" i="10"/>
  <c r="L390" i="10"/>
  <c r="M390" i="10" s="1"/>
  <c r="K390" i="10"/>
  <c r="J390" i="10"/>
  <c r="F390" i="10"/>
  <c r="L389" i="10"/>
  <c r="M389" i="10" s="1"/>
  <c r="K389" i="10"/>
  <c r="J389" i="10"/>
  <c r="F389" i="10"/>
  <c r="L388" i="10"/>
  <c r="M388" i="10" s="1"/>
  <c r="K388" i="10"/>
  <c r="J388" i="10"/>
  <c r="F388" i="10"/>
  <c r="L387" i="10"/>
  <c r="M387" i="10" s="1"/>
  <c r="K387" i="10"/>
  <c r="J387" i="10"/>
  <c r="F387" i="10"/>
  <c r="L386" i="10"/>
  <c r="M386" i="10" s="1"/>
  <c r="K386" i="10"/>
  <c r="J386" i="10"/>
  <c r="F386" i="10"/>
  <c r="L385" i="10"/>
  <c r="M385" i="10" s="1"/>
  <c r="K385" i="10"/>
  <c r="J385" i="10"/>
  <c r="F385" i="10"/>
  <c r="L384" i="10"/>
  <c r="M384" i="10" s="1"/>
  <c r="K384" i="10"/>
  <c r="J384" i="10"/>
  <c r="F384" i="10"/>
  <c r="L383" i="10"/>
  <c r="M383" i="10" s="1"/>
  <c r="K383" i="10"/>
  <c r="J383" i="10"/>
  <c r="F383" i="10"/>
  <c r="L382" i="10"/>
  <c r="M382" i="10" s="1"/>
  <c r="K382" i="10"/>
  <c r="J382" i="10"/>
  <c r="F382" i="10"/>
  <c r="L381" i="10"/>
  <c r="M381" i="10" s="1"/>
  <c r="K381" i="10"/>
  <c r="J381" i="10"/>
  <c r="F381" i="10"/>
  <c r="L380" i="10"/>
  <c r="M380" i="10" s="1"/>
  <c r="K380" i="10"/>
  <c r="J380" i="10"/>
  <c r="F380" i="10"/>
  <c r="L379" i="10"/>
  <c r="M379" i="10" s="1"/>
  <c r="K379" i="10"/>
  <c r="J379" i="10"/>
  <c r="F379" i="10"/>
  <c r="L378" i="10"/>
  <c r="M378" i="10" s="1"/>
  <c r="K378" i="10"/>
  <c r="J378" i="10"/>
  <c r="F378" i="10"/>
  <c r="L377" i="10"/>
  <c r="M377" i="10" s="1"/>
  <c r="K377" i="10"/>
  <c r="J377" i="10"/>
  <c r="F377" i="10"/>
  <c r="L376" i="10"/>
  <c r="M376" i="10" s="1"/>
  <c r="K376" i="10"/>
  <c r="J376" i="10"/>
  <c r="F376" i="10"/>
  <c r="L375" i="10"/>
  <c r="M375" i="10" s="1"/>
  <c r="K375" i="10"/>
  <c r="J375" i="10"/>
  <c r="F375" i="10"/>
  <c r="L374" i="10"/>
  <c r="M374" i="10" s="1"/>
  <c r="K374" i="10"/>
  <c r="J374" i="10"/>
  <c r="F374" i="10"/>
  <c r="L373" i="10"/>
  <c r="M373" i="10" s="1"/>
  <c r="K373" i="10"/>
  <c r="J373" i="10"/>
  <c r="F373" i="10"/>
  <c r="L372" i="10"/>
  <c r="M372" i="10" s="1"/>
  <c r="K372" i="10"/>
  <c r="J372" i="10"/>
  <c r="F372" i="10"/>
  <c r="L371" i="10"/>
  <c r="M371" i="10" s="1"/>
  <c r="K371" i="10"/>
  <c r="J371" i="10"/>
  <c r="F371" i="10"/>
  <c r="L370" i="10"/>
  <c r="M370" i="10" s="1"/>
  <c r="K370" i="10"/>
  <c r="J370" i="10"/>
  <c r="F370" i="10"/>
  <c r="L369" i="10"/>
  <c r="M369" i="10" s="1"/>
  <c r="K369" i="10"/>
  <c r="J369" i="10"/>
  <c r="F369" i="10"/>
  <c r="L368" i="10"/>
  <c r="M368" i="10" s="1"/>
  <c r="K368" i="10"/>
  <c r="J368" i="10"/>
  <c r="F368" i="10"/>
  <c r="L367" i="10"/>
  <c r="M367" i="10" s="1"/>
  <c r="K367" i="10"/>
  <c r="J367" i="10"/>
  <c r="F367" i="10"/>
  <c r="L366" i="10"/>
  <c r="M366" i="10" s="1"/>
  <c r="K366" i="10"/>
  <c r="J366" i="10"/>
  <c r="F366" i="10"/>
  <c r="L365" i="10"/>
  <c r="M365" i="10" s="1"/>
  <c r="K365" i="10"/>
  <c r="J365" i="10"/>
  <c r="F365" i="10"/>
  <c r="L364" i="10"/>
  <c r="M364" i="10" s="1"/>
  <c r="K364" i="10"/>
  <c r="J364" i="10"/>
  <c r="F364" i="10"/>
  <c r="L363" i="10"/>
  <c r="M363" i="10" s="1"/>
  <c r="K363" i="10"/>
  <c r="J363" i="10"/>
  <c r="F363" i="10"/>
  <c r="L362" i="10"/>
  <c r="M362" i="10" s="1"/>
  <c r="K362" i="10"/>
  <c r="J362" i="10"/>
  <c r="F362" i="10"/>
  <c r="L361" i="10"/>
  <c r="M361" i="10" s="1"/>
  <c r="K361" i="10"/>
  <c r="J361" i="10"/>
  <c r="F361" i="10"/>
  <c r="L360" i="10"/>
  <c r="M360" i="10" s="1"/>
  <c r="K360" i="10"/>
  <c r="J360" i="10"/>
  <c r="F360" i="10"/>
  <c r="L359" i="10"/>
  <c r="M359" i="10" s="1"/>
  <c r="K359" i="10"/>
  <c r="J359" i="10"/>
  <c r="F359" i="10"/>
  <c r="L358" i="10"/>
  <c r="M358" i="10" s="1"/>
  <c r="K358" i="10"/>
  <c r="J358" i="10"/>
  <c r="F358" i="10"/>
  <c r="L357" i="10"/>
  <c r="M357" i="10" s="1"/>
  <c r="K357" i="10"/>
  <c r="J357" i="10"/>
  <c r="F357" i="10"/>
  <c r="L356" i="10"/>
  <c r="M356" i="10" s="1"/>
  <c r="K356" i="10"/>
  <c r="J356" i="10"/>
  <c r="F356" i="10"/>
  <c r="L355" i="10"/>
  <c r="M355" i="10" s="1"/>
  <c r="K355" i="10"/>
  <c r="J355" i="10"/>
  <c r="F355" i="10"/>
  <c r="L354" i="10"/>
  <c r="M354" i="10" s="1"/>
  <c r="K354" i="10"/>
  <c r="J354" i="10"/>
  <c r="F354" i="10"/>
  <c r="L353" i="10"/>
  <c r="M353" i="10" s="1"/>
  <c r="K353" i="10"/>
  <c r="J353" i="10"/>
  <c r="F353" i="10"/>
  <c r="L352" i="10"/>
  <c r="M352" i="10" s="1"/>
  <c r="K352" i="10"/>
  <c r="J352" i="10"/>
  <c r="F352" i="10"/>
  <c r="L351" i="10"/>
  <c r="M351" i="10" s="1"/>
  <c r="K351" i="10"/>
  <c r="J351" i="10"/>
  <c r="F351" i="10"/>
  <c r="L350" i="10"/>
  <c r="M350" i="10" s="1"/>
  <c r="K350" i="10"/>
  <c r="J350" i="10"/>
  <c r="F350" i="10"/>
  <c r="L349" i="10"/>
  <c r="M349" i="10" s="1"/>
  <c r="K349" i="10"/>
  <c r="J349" i="10"/>
  <c r="F349" i="10"/>
  <c r="L348" i="10"/>
  <c r="M348" i="10" s="1"/>
  <c r="K348" i="10"/>
  <c r="J348" i="10"/>
  <c r="F348" i="10"/>
  <c r="L347" i="10"/>
  <c r="M347" i="10" s="1"/>
  <c r="K347" i="10"/>
  <c r="J347" i="10"/>
  <c r="F347" i="10"/>
  <c r="L346" i="10"/>
  <c r="M346" i="10" s="1"/>
  <c r="K346" i="10"/>
  <c r="J346" i="10"/>
  <c r="F346" i="10"/>
  <c r="L345" i="10"/>
  <c r="M345" i="10" s="1"/>
  <c r="K345" i="10"/>
  <c r="J345" i="10"/>
  <c r="F345" i="10"/>
  <c r="L344" i="10"/>
  <c r="M344" i="10" s="1"/>
  <c r="K344" i="10"/>
  <c r="J344" i="10"/>
  <c r="F344" i="10"/>
  <c r="L343" i="10"/>
  <c r="M343" i="10" s="1"/>
  <c r="K343" i="10"/>
  <c r="J343" i="10"/>
  <c r="F343" i="10"/>
  <c r="L342" i="10"/>
  <c r="M342" i="10" s="1"/>
  <c r="K342" i="10"/>
  <c r="J342" i="10"/>
  <c r="F342" i="10"/>
  <c r="L341" i="10"/>
  <c r="M341" i="10" s="1"/>
  <c r="K341" i="10"/>
  <c r="J341" i="10"/>
  <c r="F341" i="10"/>
  <c r="L340" i="10"/>
  <c r="M340" i="10" s="1"/>
  <c r="K340" i="10"/>
  <c r="J340" i="10"/>
  <c r="F340" i="10"/>
  <c r="L339" i="10"/>
  <c r="M339" i="10" s="1"/>
  <c r="K339" i="10"/>
  <c r="J339" i="10"/>
  <c r="F339" i="10"/>
  <c r="L338" i="10"/>
  <c r="M338" i="10" s="1"/>
  <c r="K338" i="10"/>
  <c r="J338" i="10"/>
  <c r="F338" i="10"/>
  <c r="L337" i="10"/>
  <c r="M337" i="10" s="1"/>
  <c r="K337" i="10"/>
  <c r="J337" i="10"/>
  <c r="F337" i="10"/>
  <c r="L336" i="10"/>
  <c r="M336" i="10" s="1"/>
  <c r="K336" i="10"/>
  <c r="J336" i="10"/>
  <c r="F336" i="10"/>
  <c r="L335" i="10"/>
  <c r="M335" i="10" s="1"/>
  <c r="K335" i="10"/>
  <c r="J335" i="10"/>
  <c r="F335" i="10"/>
  <c r="L334" i="10"/>
  <c r="M334" i="10" s="1"/>
  <c r="K334" i="10"/>
  <c r="J334" i="10"/>
  <c r="F334" i="10"/>
  <c r="L333" i="10"/>
  <c r="M333" i="10" s="1"/>
  <c r="K333" i="10"/>
  <c r="J333" i="10"/>
  <c r="F333" i="10"/>
  <c r="L332" i="10"/>
  <c r="M332" i="10" s="1"/>
  <c r="K332" i="10"/>
  <c r="J332" i="10"/>
  <c r="F332" i="10"/>
  <c r="L331" i="10"/>
  <c r="M331" i="10" s="1"/>
  <c r="K331" i="10"/>
  <c r="J331" i="10"/>
  <c r="F331" i="10"/>
  <c r="L330" i="10"/>
  <c r="M330" i="10" s="1"/>
  <c r="K330" i="10"/>
  <c r="J330" i="10"/>
  <c r="F330" i="10"/>
  <c r="L329" i="10"/>
  <c r="M329" i="10" s="1"/>
  <c r="K329" i="10"/>
  <c r="J329" i="10"/>
  <c r="F329" i="10"/>
  <c r="L328" i="10"/>
  <c r="M328" i="10" s="1"/>
  <c r="K328" i="10"/>
  <c r="J328" i="10"/>
  <c r="F328" i="10"/>
  <c r="L327" i="10"/>
  <c r="M327" i="10" s="1"/>
  <c r="K327" i="10"/>
  <c r="J327" i="10"/>
  <c r="F327" i="10"/>
  <c r="L326" i="10"/>
  <c r="M326" i="10" s="1"/>
  <c r="K326" i="10"/>
  <c r="J326" i="10"/>
  <c r="F326" i="10"/>
  <c r="L325" i="10"/>
  <c r="M325" i="10" s="1"/>
  <c r="K325" i="10"/>
  <c r="J325" i="10"/>
  <c r="F325" i="10"/>
  <c r="L324" i="10"/>
  <c r="M324" i="10" s="1"/>
  <c r="K324" i="10"/>
  <c r="J324" i="10"/>
  <c r="F324" i="10"/>
  <c r="L323" i="10"/>
  <c r="M323" i="10" s="1"/>
  <c r="K323" i="10"/>
  <c r="J323" i="10"/>
  <c r="F323" i="10"/>
  <c r="L322" i="10"/>
  <c r="M322" i="10" s="1"/>
  <c r="K322" i="10"/>
  <c r="J322" i="10"/>
  <c r="F322" i="10"/>
  <c r="L321" i="10"/>
  <c r="M321" i="10" s="1"/>
  <c r="K321" i="10"/>
  <c r="J321" i="10"/>
  <c r="F321" i="10"/>
  <c r="L320" i="10"/>
  <c r="M320" i="10" s="1"/>
  <c r="K320" i="10"/>
  <c r="J320" i="10"/>
  <c r="F320" i="10"/>
  <c r="L319" i="10"/>
  <c r="M319" i="10" s="1"/>
  <c r="K319" i="10"/>
  <c r="J319" i="10"/>
  <c r="F319" i="10"/>
  <c r="L318" i="10"/>
  <c r="M318" i="10" s="1"/>
  <c r="K318" i="10"/>
  <c r="J318" i="10"/>
  <c r="F318" i="10"/>
  <c r="L317" i="10"/>
  <c r="M317" i="10" s="1"/>
  <c r="K317" i="10"/>
  <c r="J317" i="10"/>
  <c r="F317" i="10"/>
  <c r="L316" i="10"/>
  <c r="M316" i="10" s="1"/>
  <c r="K316" i="10"/>
  <c r="J316" i="10"/>
  <c r="F316" i="10"/>
  <c r="L315" i="10"/>
  <c r="M315" i="10" s="1"/>
  <c r="K315" i="10"/>
  <c r="J315" i="10"/>
  <c r="F315" i="10"/>
  <c r="L314" i="10"/>
  <c r="M314" i="10" s="1"/>
  <c r="K314" i="10"/>
  <c r="J314" i="10"/>
  <c r="F314" i="10"/>
  <c r="L313" i="10"/>
  <c r="M313" i="10" s="1"/>
  <c r="K313" i="10"/>
  <c r="J313" i="10"/>
  <c r="F313" i="10"/>
  <c r="L312" i="10"/>
  <c r="M312" i="10" s="1"/>
  <c r="K312" i="10"/>
  <c r="J312" i="10"/>
  <c r="F312" i="10"/>
  <c r="L311" i="10"/>
  <c r="M311" i="10" s="1"/>
  <c r="K311" i="10"/>
  <c r="J311" i="10"/>
  <c r="F311" i="10"/>
  <c r="L310" i="10"/>
  <c r="M310" i="10" s="1"/>
  <c r="K310" i="10"/>
  <c r="J310" i="10"/>
  <c r="F310" i="10"/>
  <c r="L309" i="10"/>
  <c r="M309" i="10" s="1"/>
  <c r="K309" i="10"/>
  <c r="J309" i="10"/>
  <c r="F309" i="10"/>
  <c r="L308" i="10"/>
  <c r="M308" i="10" s="1"/>
  <c r="K308" i="10"/>
  <c r="J308" i="10"/>
  <c r="F308" i="10"/>
  <c r="L307" i="10"/>
  <c r="M307" i="10" s="1"/>
  <c r="K307" i="10"/>
  <c r="J307" i="10"/>
  <c r="F307" i="10"/>
  <c r="L306" i="10"/>
  <c r="M306" i="10" s="1"/>
  <c r="K306" i="10"/>
  <c r="J306" i="10"/>
  <c r="F306" i="10"/>
  <c r="L305" i="10"/>
  <c r="M305" i="10" s="1"/>
  <c r="K305" i="10"/>
  <c r="J305" i="10"/>
  <c r="F305" i="10"/>
  <c r="L304" i="10"/>
  <c r="M304" i="10" s="1"/>
  <c r="K304" i="10"/>
  <c r="J304" i="10"/>
  <c r="F304" i="10"/>
  <c r="L303" i="10"/>
  <c r="M303" i="10" s="1"/>
  <c r="K303" i="10"/>
  <c r="J303" i="10"/>
  <c r="F303" i="10"/>
  <c r="L302" i="10"/>
  <c r="M302" i="10" s="1"/>
  <c r="K302" i="10"/>
  <c r="J302" i="10"/>
  <c r="F302" i="10"/>
  <c r="L301" i="10"/>
  <c r="M301" i="10" s="1"/>
  <c r="K301" i="10"/>
  <c r="J301" i="10"/>
  <c r="F301" i="10"/>
  <c r="L300" i="10"/>
  <c r="M300" i="10" s="1"/>
  <c r="K300" i="10"/>
  <c r="J300" i="10"/>
  <c r="F300" i="10"/>
  <c r="L299" i="10"/>
  <c r="M299" i="10" s="1"/>
  <c r="K299" i="10"/>
  <c r="J299" i="10"/>
  <c r="F299" i="10"/>
  <c r="L298" i="10"/>
  <c r="M298" i="10" s="1"/>
  <c r="K298" i="10"/>
  <c r="J298" i="10"/>
  <c r="F298" i="10"/>
  <c r="L297" i="10"/>
  <c r="M297" i="10" s="1"/>
  <c r="K297" i="10"/>
  <c r="J297" i="10"/>
  <c r="F297" i="10"/>
  <c r="L296" i="10"/>
  <c r="M296" i="10" s="1"/>
  <c r="K296" i="10"/>
  <c r="J296" i="10"/>
  <c r="F296" i="10"/>
  <c r="L295" i="10"/>
  <c r="M295" i="10" s="1"/>
  <c r="K295" i="10"/>
  <c r="J295" i="10"/>
  <c r="F295" i="10"/>
  <c r="L294" i="10"/>
  <c r="M294" i="10" s="1"/>
  <c r="K294" i="10"/>
  <c r="J294" i="10"/>
  <c r="F294" i="10"/>
  <c r="L293" i="10"/>
  <c r="M293" i="10" s="1"/>
  <c r="K293" i="10"/>
  <c r="J293" i="10"/>
  <c r="F293" i="10"/>
  <c r="L292" i="10"/>
  <c r="M292" i="10" s="1"/>
  <c r="K292" i="10"/>
  <c r="J292" i="10"/>
  <c r="F292" i="10"/>
  <c r="L291" i="10"/>
  <c r="M291" i="10" s="1"/>
  <c r="K291" i="10"/>
  <c r="J291" i="10"/>
  <c r="F291" i="10"/>
  <c r="L290" i="10"/>
  <c r="M290" i="10" s="1"/>
  <c r="K290" i="10"/>
  <c r="J290" i="10"/>
  <c r="F290" i="10"/>
  <c r="L289" i="10"/>
  <c r="M289" i="10" s="1"/>
  <c r="K289" i="10"/>
  <c r="J289" i="10"/>
  <c r="F289" i="10"/>
  <c r="L288" i="10"/>
  <c r="M288" i="10" s="1"/>
  <c r="K288" i="10"/>
  <c r="J288" i="10"/>
  <c r="F288" i="10"/>
  <c r="L287" i="10"/>
  <c r="M287" i="10" s="1"/>
  <c r="K287" i="10"/>
  <c r="J287" i="10"/>
  <c r="F287" i="10"/>
  <c r="L286" i="10"/>
  <c r="M286" i="10" s="1"/>
  <c r="K286" i="10"/>
  <c r="J286" i="10"/>
  <c r="F286" i="10"/>
  <c r="L285" i="10"/>
  <c r="M285" i="10" s="1"/>
  <c r="K285" i="10"/>
  <c r="J285" i="10"/>
  <c r="F285" i="10"/>
  <c r="L284" i="10"/>
  <c r="M284" i="10" s="1"/>
  <c r="K284" i="10"/>
  <c r="J284" i="10"/>
  <c r="F284" i="10"/>
  <c r="L283" i="10"/>
  <c r="M283" i="10" s="1"/>
  <c r="K283" i="10"/>
  <c r="J283" i="10"/>
  <c r="F283" i="10"/>
  <c r="L282" i="10"/>
  <c r="M282" i="10" s="1"/>
  <c r="K282" i="10"/>
  <c r="J282" i="10"/>
  <c r="F282" i="10"/>
  <c r="L281" i="10"/>
  <c r="M281" i="10" s="1"/>
  <c r="K281" i="10"/>
  <c r="J281" i="10"/>
  <c r="F281" i="10"/>
  <c r="L280" i="10"/>
  <c r="M280" i="10" s="1"/>
  <c r="K280" i="10"/>
  <c r="J280" i="10"/>
  <c r="F280" i="10"/>
  <c r="L279" i="10"/>
  <c r="M279" i="10" s="1"/>
  <c r="K279" i="10"/>
  <c r="J279" i="10"/>
  <c r="F279" i="10"/>
  <c r="L278" i="10"/>
  <c r="M278" i="10" s="1"/>
  <c r="K278" i="10"/>
  <c r="J278" i="10"/>
  <c r="F278" i="10"/>
  <c r="L277" i="10"/>
  <c r="M277" i="10" s="1"/>
  <c r="K277" i="10"/>
  <c r="J277" i="10"/>
  <c r="F277" i="10"/>
  <c r="L276" i="10"/>
  <c r="M276" i="10" s="1"/>
  <c r="K276" i="10"/>
  <c r="J276" i="10"/>
  <c r="F276" i="10"/>
  <c r="L275" i="10"/>
  <c r="M275" i="10" s="1"/>
  <c r="K275" i="10"/>
  <c r="J275" i="10"/>
  <c r="F275" i="10"/>
  <c r="L274" i="10"/>
  <c r="M274" i="10" s="1"/>
  <c r="K274" i="10"/>
  <c r="J274" i="10"/>
  <c r="F274" i="10"/>
  <c r="L273" i="10"/>
  <c r="M273" i="10" s="1"/>
  <c r="K273" i="10"/>
  <c r="J273" i="10"/>
  <c r="F273" i="10"/>
  <c r="L272" i="10"/>
  <c r="M272" i="10" s="1"/>
  <c r="K272" i="10"/>
  <c r="J272" i="10"/>
  <c r="F272" i="10"/>
  <c r="L271" i="10"/>
  <c r="M271" i="10" s="1"/>
  <c r="K271" i="10"/>
  <c r="J271" i="10"/>
  <c r="F271" i="10"/>
  <c r="L270" i="10"/>
  <c r="M270" i="10" s="1"/>
  <c r="K270" i="10"/>
  <c r="J270" i="10"/>
  <c r="F270" i="10"/>
  <c r="L269" i="10"/>
  <c r="M269" i="10" s="1"/>
  <c r="K269" i="10"/>
  <c r="J269" i="10"/>
  <c r="F269" i="10"/>
  <c r="L268" i="10"/>
  <c r="M268" i="10" s="1"/>
  <c r="K268" i="10"/>
  <c r="J268" i="10"/>
  <c r="F268" i="10"/>
  <c r="L267" i="10"/>
  <c r="M267" i="10" s="1"/>
  <c r="K267" i="10"/>
  <c r="J267" i="10"/>
  <c r="F267" i="10"/>
  <c r="L266" i="10"/>
  <c r="M266" i="10" s="1"/>
  <c r="K266" i="10"/>
  <c r="J266" i="10"/>
  <c r="F266" i="10"/>
  <c r="L265" i="10"/>
  <c r="M265" i="10" s="1"/>
  <c r="K265" i="10"/>
  <c r="J265" i="10"/>
  <c r="F265" i="10"/>
  <c r="L264" i="10"/>
  <c r="M264" i="10" s="1"/>
  <c r="K264" i="10"/>
  <c r="J264" i="10"/>
  <c r="F264" i="10"/>
  <c r="L263" i="10"/>
  <c r="M263" i="10" s="1"/>
  <c r="K263" i="10"/>
  <c r="J263" i="10"/>
  <c r="F263" i="10"/>
  <c r="L262" i="10"/>
  <c r="M262" i="10" s="1"/>
  <c r="K262" i="10"/>
  <c r="J262" i="10"/>
  <c r="F262" i="10"/>
  <c r="L261" i="10"/>
  <c r="M261" i="10" s="1"/>
  <c r="K261" i="10"/>
  <c r="J261" i="10"/>
  <c r="F261" i="10"/>
  <c r="L260" i="10"/>
  <c r="M260" i="10" s="1"/>
  <c r="K260" i="10"/>
  <c r="J260" i="10"/>
  <c r="F260" i="10"/>
  <c r="L259" i="10"/>
  <c r="M259" i="10" s="1"/>
  <c r="K259" i="10"/>
  <c r="J259" i="10"/>
  <c r="F259" i="10"/>
  <c r="L258" i="10"/>
  <c r="M258" i="10" s="1"/>
  <c r="K258" i="10"/>
  <c r="J258" i="10"/>
  <c r="F258" i="10"/>
  <c r="L257" i="10"/>
  <c r="M257" i="10" s="1"/>
  <c r="K257" i="10"/>
  <c r="J257" i="10"/>
  <c r="F257" i="10"/>
  <c r="L256" i="10"/>
  <c r="M256" i="10" s="1"/>
  <c r="K256" i="10"/>
  <c r="J256" i="10"/>
  <c r="F256" i="10"/>
  <c r="L255" i="10"/>
  <c r="M255" i="10" s="1"/>
  <c r="K255" i="10"/>
  <c r="J255" i="10"/>
  <c r="F255" i="10"/>
  <c r="L254" i="10"/>
  <c r="M254" i="10" s="1"/>
  <c r="K254" i="10"/>
  <c r="J254" i="10"/>
  <c r="F254" i="10"/>
  <c r="L253" i="10"/>
  <c r="M253" i="10" s="1"/>
  <c r="K253" i="10"/>
  <c r="J253" i="10"/>
  <c r="F253" i="10"/>
  <c r="L252" i="10"/>
  <c r="M252" i="10" s="1"/>
  <c r="K252" i="10"/>
  <c r="J252" i="10"/>
  <c r="F252" i="10"/>
  <c r="L251" i="10"/>
  <c r="M251" i="10" s="1"/>
  <c r="K251" i="10"/>
  <c r="J251" i="10"/>
  <c r="F251" i="10"/>
  <c r="L250" i="10"/>
  <c r="M250" i="10" s="1"/>
  <c r="K250" i="10"/>
  <c r="J250" i="10"/>
  <c r="F250" i="10"/>
  <c r="L249" i="10"/>
  <c r="M249" i="10" s="1"/>
  <c r="K249" i="10"/>
  <c r="J249" i="10"/>
  <c r="F249" i="10"/>
  <c r="L248" i="10"/>
  <c r="M248" i="10" s="1"/>
  <c r="K248" i="10"/>
  <c r="J248" i="10"/>
  <c r="F248" i="10"/>
  <c r="L247" i="10"/>
  <c r="M247" i="10" s="1"/>
  <c r="K247" i="10"/>
  <c r="J247" i="10"/>
  <c r="F247" i="10"/>
  <c r="L246" i="10"/>
  <c r="M246" i="10" s="1"/>
  <c r="K246" i="10"/>
  <c r="J246" i="10"/>
  <c r="F246" i="10"/>
  <c r="L245" i="10"/>
  <c r="M245" i="10" s="1"/>
  <c r="K245" i="10"/>
  <c r="J245" i="10"/>
  <c r="F245" i="10"/>
  <c r="L244" i="10"/>
  <c r="M244" i="10" s="1"/>
  <c r="K244" i="10"/>
  <c r="J244" i="10"/>
  <c r="F244" i="10"/>
  <c r="L243" i="10"/>
  <c r="M243" i="10" s="1"/>
  <c r="K243" i="10"/>
  <c r="J243" i="10"/>
  <c r="F243" i="10"/>
  <c r="L242" i="10"/>
  <c r="M242" i="10" s="1"/>
  <c r="K242" i="10"/>
  <c r="J242" i="10"/>
  <c r="F242" i="10"/>
  <c r="L241" i="10"/>
  <c r="M241" i="10" s="1"/>
  <c r="K241" i="10"/>
  <c r="J241" i="10"/>
  <c r="F241" i="10"/>
  <c r="L240" i="10"/>
  <c r="M240" i="10" s="1"/>
  <c r="K240" i="10"/>
  <c r="J240" i="10"/>
  <c r="F240" i="10"/>
  <c r="L239" i="10"/>
  <c r="M239" i="10" s="1"/>
  <c r="K239" i="10"/>
  <c r="J239" i="10"/>
  <c r="F239" i="10"/>
  <c r="L238" i="10"/>
  <c r="M238" i="10" s="1"/>
  <c r="K238" i="10"/>
  <c r="J238" i="10"/>
  <c r="F238" i="10"/>
  <c r="L237" i="10"/>
  <c r="M237" i="10" s="1"/>
  <c r="K237" i="10"/>
  <c r="J237" i="10"/>
  <c r="F237" i="10"/>
  <c r="L236" i="10"/>
  <c r="M236" i="10" s="1"/>
  <c r="K236" i="10"/>
  <c r="J236" i="10"/>
  <c r="F236" i="10"/>
  <c r="L235" i="10"/>
  <c r="M235" i="10" s="1"/>
  <c r="K235" i="10"/>
  <c r="J235" i="10"/>
  <c r="F235" i="10"/>
  <c r="L234" i="10"/>
  <c r="M234" i="10" s="1"/>
  <c r="K234" i="10"/>
  <c r="J234" i="10"/>
  <c r="F234" i="10"/>
  <c r="L233" i="10"/>
  <c r="M233" i="10" s="1"/>
  <c r="K233" i="10"/>
  <c r="J233" i="10"/>
  <c r="F233" i="10"/>
  <c r="L232" i="10"/>
  <c r="M232" i="10" s="1"/>
  <c r="K232" i="10"/>
  <c r="J232" i="10"/>
  <c r="F232" i="10"/>
  <c r="L231" i="10"/>
  <c r="M231" i="10" s="1"/>
  <c r="K231" i="10"/>
  <c r="J231" i="10"/>
  <c r="F231" i="10"/>
  <c r="L230" i="10"/>
  <c r="M230" i="10" s="1"/>
  <c r="K230" i="10"/>
  <c r="J230" i="10"/>
  <c r="F230" i="10"/>
  <c r="L229" i="10"/>
  <c r="M229" i="10" s="1"/>
  <c r="K229" i="10"/>
  <c r="J229" i="10"/>
  <c r="F229" i="10"/>
  <c r="L228" i="10"/>
  <c r="M228" i="10" s="1"/>
  <c r="K228" i="10"/>
  <c r="J228" i="10"/>
  <c r="F228" i="10"/>
  <c r="L227" i="10"/>
  <c r="M227" i="10" s="1"/>
  <c r="K227" i="10"/>
  <c r="J227" i="10"/>
  <c r="F227" i="10"/>
  <c r="L226" i="10"/>
  <c r="M226" i="10" s="1"/>
  <c r="K226" i="10"/>
  <c r="J226" i="10"/>
  <c r="F226" i="10"/>
  <c r="L225" i="10"/>
  <c r="M225" i="10" s="1"/>
  <c r="K225" i="10"/>
  <c r="J225" i="10"/>
  <c r="F225" i="10"/>
  <c r="L224" i="10"/>
  <c r="M224" i="10" s="1"/>
  <c r="K224" i="10"/>
  <c r="J224" i="10"/>
  <c r="F224" i="10"/>
  <c r="L223" i="10"/>
  <c r="M223" i="10" s="1"/>
  <c r="K223" i="10"/>
  <c r="J223" i="10"/>
  <c r="F223" i="10"/>
  <c r="L222" i="10"/>
  <c r="M222" i="10" s="1"/>
  <c r="K222" i="10"/>
  <c r="J222" i="10"/>
  <c r="F222" i="10"/>
  <c r="L221" i="10"/>
  <c r="M221" i="10" s="1"/>
  <c r="K221" i="10"/>
  <c r="J221" i="10"/>
  <c r="F221" i="10"/>
  <c r="L220" i="10"/>
  <c r="M220" i="10" s="1"/>
  <c r="K220" i="10"/>
  <c r="J220" i="10"/>
  <c r="F220" i="10"/>
  <c r="L219" i="10"/>
  <c r="M219" i="10" s="1"/>
  <c r="K219" i="10"/>
  <c r="J219" i="10"/>
  <c r="F219" i="10"/>
  <c r="L218" i="10"/>
  <c r="M218" i="10" s="1"/>
  <c r="K218" i="10"/>
  <c r="J218" i="10"/>
  <c r="F218" i="10"/>
  <c r="L217" i="10"/>
  <c r="M217" i="10" s="1"/>
  <c r="K217" i="10"/>
  <c r="J217" i="10"/>
  <c r="F217" i="10"/>
  <c r="L216" i="10"/>
  <c r="M216" i="10" s="1"/>
  <c r="K216" i="10"/>
  <c r="J216" i="10"/>
  <c r="F216" i="10"/>
  <c r="L215" i="10"/>
  <c r="M215" i="10" s="1"/>
  <c r="K215" i="10"/>
  <c r="J215" i="10"/>
  <c r="F215" i="10"/>
  <c r="L214" i="10"/>
  <c r="M214" i="10" s="1"/>
  <c r="K214" i="10"/>
  <c r="J214" i="10"/>
  <c r="F214" i="10"/>
  <c r="L213" i="10"/>
  <c r="M213" i="10" s="1"/>
  <c r="K213" i="10"/>
  <c r="J213" i="10"/>
  <c r="F213" i="10"/>
  <c r="L212" i="10"/>
  <c r="M212" i="10" s="1"/>
  <c r="K212" i="10"/>
  <c r="J212" i="10"/>
  <c r="F212" i="10"/>
  <c r="M211" i="10"/>
  <c r="L211" i="10"/>
  <c r="K211" i="10"/>
  <c r="J211" i="10"/>
  <c r="F211" i="10"/>
  <c r="L210" i="10"/>
  <c r="M210" i="10" s="1"/>
  <c r="K210" i="10"/>
  <c r="J210" i="10"/>
  <c r="F210" i="10"/>
  <c r="L209" i="10"/>
  <c r="M209" i="10" s="1"/>
  <c r="K209" i="10"/>
  <c r="J209" i="10"/>
  <c r="F209" i="10"/>
  <c r="L208" i="10"/>
  <c r="M208" i="10" s="1"/>
  <c r="K208" i="10"/>
  <c r="J208" i="10"/>
  <c r="F208" i="10"/>
  <c r="L207" i="10"/>
  <c r="M207" i="10" s="1"/>
  <c r="K207" i="10"/>
  <c r="J207" i="10"/>
  <c r="F207" i="10"/>
  <c r="L206" i="10"/>
  <c r="M206" i="10" s="1"/>
  <c r="K206" i="10"/>
  <c r="J206" i="10"/>
  <c r="F206" i="10"/>
  <c r="L205" i="10"/>
  <c r="M205" i="10" s="1"/>
  <c r="K205" i="10"/>
  <c r="J205" i="10"/>
  <c r="F205" i="10"/>
  <c r="L204" i="10"/>
  <c r="M204" i="10" s="1"/>
  <c r="K204" i="10"/>
  <c r="J204" i="10"/>
  <c r="F204" i="10"/>
  <c r="L203" i="10"/>
  <c r="M203" i="10" s="1"/>
  <c r="K203" i="10"/>
  <c r="J203" i="10"/>
  <c r="F203" i="10"/>
  <c r="L202" i="10"/>
  <c r="M202" i="10" s="1"/>
  <c r="K202" i="10"/>
  <c r="J202" i="10"/>
  <c r="F202" i="10"/>
  <c r="L201" i="10"/>
  <c r="M201" i="10" s="1"/>
  <c r="K201" i="10"/>
  <c r="J201" i="10"/>
  <c r="F201" i="10"/>
  <c r="L200" i="10"/>
  <c r="M200" i="10" s="1"/>
  <c r="K200" i="10"/>
  <c r="J200" i="10"/>
  <c r="F200" i="10"/>
  <c r="L199" i="10"/>
  <c r="M199" i="10" s="1"/>
  <c r="K199" i="10"/>
  <c r="J199" i="10"/>
  <c r="F199" i="10"/>
  <c r="L198" i="10"/>
  <c r="M198" i="10" s="1"/>
  <c r="K198" i="10"/>
  <c r="J198" i="10"/>
  <c r="F198" i="10"/>
  <c r="L197" i="10"/>
  <c r="M197" i="10" s="1"/>
  <c r="K197" i="10"/>
  <c r="J197" i="10"/>
  <c r="F197" i="10"/>
  <c r="L196" i="10"/>
  <c r="M196" i="10" s="1"/>
  <c r="K196" i="10"/>
  <c r="J196" i="10"/>
  <c r="F196" i="10"/>
  <c r="L195" i="10"/>
  <c r="M195" i="10" s="1"/>
  <c r="K195" i="10"/>
  <c r="J195" i="10"/>
  <c r="F195" i="10"/>
  <c r="L194" i="10"/>
  <c r="M194" i="10" s="1"/>
  <c r="K194" i="10"/>
  <c r="J194" i="10"/>
  <c r="F194" i="10"/>
  <c r="L193" i="10"/>
  <c r="M193" i="10" s="1"/>
  <c r="K193" i="10"/>
  <c r="J193" i="10"/>
  <c r="F193" i="10"/>
  <c r="L192" i="10"/>
  <c r="M192" i="10" s="1"/>
  <c r="K192" i="10"/>
  <c r="J192" i="10"/>
  <c r="F192" i="10"/>
  <c r="L191" i="10"/>
  <c r="M191" i="10" s="1"/>
  <c r="K191" i="10"/>
  <c r="J191" i="10"/>
  <c r="F191" i="10"/>
  <c r="L190" i="10"/>
  <c r="M190" i="10" s="1"/>
  <c r="K190" i="10"/>
  <c r="J190" i="10"/>
  <c r="F190" i="10"/>
  <c r="L189" i="10"/>
  <c r="M189" i="10" s="1"/>
  <c r="K189" i="10"/>
  <c r="J189" i="10"/>
  <c r="F189" i="10"/>
  <c r="L188" i="10"/>
  <c r="M188" i="10" s="1"/>
  <c r="K188" i="10"/>
  <c r="J188" i="10"/>
  <c r="F188" i="10"/>
  <c r="L187" i="10"/>
  <c r="M187" i="10" s="1"/>
  <c r="K187" i="10"/>
  <c r="J187" i="10"/>
  <c r="F187" i="10"/>
  <c r="L186" i="10"/>
  <c r="M186" i="10" s="1"/>
  <c r="K186" i="10"/>
  <c r="J186" i="10"/>
  <c r="F186" i="10"/>
  <c r="L185" i="10"/>
  <c r="M185" i="10" s="1"/>
  <c r="K185" i="10"/>
  <c r="J185" i="10"/>
  <c r="F185" i="10"/>
  <c r="L184" i="10"/>
  <c r="M184" i="10" s="1"/>
  <c r="K184" i="10"/>
  <c r="J184" i="10"/>
  <c r="F184" i="10"/>
  <c r="L183" i="10"/>
  <c r="M183" i="10" s="1"/>
  <c r="K183" i="10"/>
  <c r="J183" i="10"/>
  <c r="F183" i="10"/>
  <c r="L182" i="10"/>
  <c r="M182" i="10" s="1"/>
  <c r="K182" i="10"/>
  <c r="J182" i="10"/>
  <c r="F182" i="10"/>
  <c r="L181" i="10"/>
  <c r="M181" i="10" s="1"/>
  <c r="K181" i="10"/>
  <c r="J181" i="10"/>
  <c r="F181" i="10"/>
  <c r="L180" i="10"/>
  <c r="M180" i="10" s="1"/>
  <c r="K180" i="10"/>
  <c r="J180" i="10"/>
  <c r="F180" i="10"/>
  <c r="L179" i="10"/>
  <c r="M179" i="10" s="1"/>
  <c r="K179" i="10"/>
  <c r="J179" i="10"/>
  <c r="F179" i="10"/>
  <c r="L178" i="10"/>
  <c r="M178" i="10" s="1"/>
  <c r="K178" i="10"/>
  <c r="J178" i="10"/>
  <c r="F178" i="10"/>
  <c r="L177" i="10"/>
  <c r="M177" i="10" s="1"/>
  <c r="K177" i="10"/>
  <c r="J177" i="10"/>
  <c r="F177" i="10"/>
  <c r="L176" i="10"/>
  <c r="M176" i="10" s="1"/>
  <c r="K176" i="10"/>
  <c r="J176" i="10"/>
  <c r="F176" i="10"/>
  <c r="L175" i="10"/>
  <c r="M175" i="10" s="1"/>
  <c r="K175" i="10"/>
  <c r="J175" i="10"/>
  <c r="F175" i="10"/>
  <c r="L174" i="10"/>
  <c r="M174" i="10" s="1"/>
  <c r="K174" i="10"/>
  <c r="J174" i="10"/>
  <c r="F174" i="10"/>
  <c r="L173" i="10"/>
  <c r="M173" i="10" s="1"/>
  <c r="K173" i="10"/>
  <c r="J173" i="10"/>
  <c r="F173" i="10"/>
  <c r="L172" i="10"/>
  <c r="M172" i="10" s="1"/>
  <c r="K172" i="10"/>
  <c r="J172" i="10"/>
  <c r="F172" i="10"/>
  <c r="L171" i="10"/>
  <c r="M171" i="10" s="1"/>
  <c r="K171" i="10"/>
  <c r="J171" i="10"/>
  <c r="F171" i="10"/>
  <c r="L170" i="10"/>
  <c r="M170" i="10" s="1"/>
  <c r="K170" i="10"/>
  <c r="J170" i="10"/>
  <c r="F170" i="10"/>
  <c r="L169" i="10"/>
  <c r="M169" i="10" s="1"/>
  <c r="K169" i="10"/>
  <c r="J169" i="10"/>
  <c r="F169" i="10"/>
  <c r="L168" i="10"/>
  <c r="M168" i="10" s="1"/>
  <c r="K168" i="10"/>
  <c r="J168" i="10"/>
  <c r="F168" i="10"/>
  <c r="L167" i="10"/>
  <c r="M167" i="10" s="1"/>
  <c r="K167" i="10"/>
  <c r="J167" i="10"/>
  <c r="F167" i="10"/>
  <c r="L166" i="10"/>
  <c r="M166" i="10" s="1"/>
  <c r="K166" i="10"/>
  <c r="J166" i="10"/>
  <c r="F166" i="10"/>
  <c r="L165" i="10"/>
  <c r="M165" i="10" s="1"/>
  <c r="K165" i="10"/>
  <c r="J165" i="10"/>
  <c r="F165" i="10"/>
  <c r="L164" i="10"/>
  <c r="M164" i="10" s="1"/>
  <c r="K164" i="10"/>
  <c r="J164" i="10"/>
  <c r="F164" i="10"/>
  <c r="L163" i="10"/>
  <c r="M163" i="10" s="1"/>
  <c r="K163" i="10"/>
  <c r="J163" i="10"/>
  <c r="F163" i="10"/>
  <c r="L162" i="10"/>
  <c r="M162" i="10" s="1"/>
  <c r="K162" i="10"/>
  <c r="J162" i="10"/>
  <c r="F162" i="10"/>
  <c r="L161" i="10"/>
  <c r="M161" i="10" s="1"/>
  <c r="K161" i="10"/>
  <c r="J161" i="10"/>
  <c r="F161" i="10"/>
  <c r="L160" i="10"/>
  <c r="M160" i="10" s="1"/>
  <c r="K160" i="10"/>
  <c r="J160" i="10"/>
  <c r="F160" i="10"/>
  <c r="L159" i="10"/>
  <c r="M159" i="10" s="1"/>
  <c r="K159" i="10"/>
  <c r="J159" i="10"/>
  <c r="F159" i="10"/>
  <c r="L158" i="10"/>
  <c r="M158" i="10" s="1"/>
  <c r="K158" i="10"/>
  <c r="J158" i="10"/>
  <c r="F158" i="10"/>
  <c r="L157" i="10"/>
  <c r="M157" i="10" s="1"/>
  <c r="K157" i="10"/>
  <c r="J157" i="10"/>
  <c r="F157" i="10"/>
  <c r="L156" i="10"/>
  <c r="M156" i="10" s="1"/>
  <c r="K156" i="10"/>
  <c r="J156" i="10"/>
  <c r="F156" i="10"/>
  <c r="L155" i="10"/>
  <c r="M155" i="10" s="1"/>
  <c r="K155" i="10"/>
  <c r="J155" i="10"/>
  <c r="F155" i="10"/>
  <c r="L154" i="10"/>
  <c r="M154" i="10" s="1"/>
  <c r="K154" i="10"/>
  <c r="J154" i="10"/>
  <c r="F154" i="10"/>
  <c r="L153" i="10"/>
  <c r="M153" i="10" s="1"/>
  <c r="K153" i="10"/>
  <c r="J153" i="10"/>
  <c r="F153" i="10"/>
  <c r="L152" i="10"/>
  <c r="M152" i="10" s="1"/>
  <c r="K152" i="10"/>
  <c r="J152" i="10"/>
  <c r="F152" i="10"/>
  <c r="L151" i="10"/>
  <c r="M151" i="10" s="1"/>
  <c r="K151" i="10"/>
  <c r="J151" i="10"/>
  <c r="F151" i="10"/>
  <c r="L150" i="10"/>
  <c r="M150" i="10" s="1"/>
  <c r="K150" i="10"/>
  <c r="J150" i="10"/>
  <c r="F150" i="10"/>
  <c r="L149" i="10"/>
  <c r="M149" i="10" s="1"/>
  <c r="K149" i="10"/>
  <c r="J149" i="10"/>
  <c r="F149" i="10"/>
  <c r="L148" i="10"/>
  <c r="M148" i="10" s="1"/>
  <c r="K148" i="10"/>
  <c r="J148" i="10"/>
  <c r="F148" i="10"/>
  <c r="L147" i="10"/>
  <c r="M147" i="10" s="1"/>
  <c r="K147" i="10"/>
  <c r="J147" i="10"/>
  <c r="F147" i="10"/>
  <c r="L146" i="10"/>
  <c r="M146" i="10" s="1"/>
  <c r="K146" i="10"/>
  <c r="J146" i="10"/>
  <c r="F146" i="10"/>
  <c r="L145" i="10"/>
  <c r="M145" i="10" s="1"/>
  <c r="K145" i="10"/>
  <c r="J145" i="10"/>
  <c r="F145" i="10"/>
  <c r="L144" i="10"/>
  <c r="M144" i="10" s="1"/>
  <c r="K144" i="10"/>
  <c r="J144" i="10"/>
  <c r="F144" i="10"/>
  <c r="L143" i="10"/>
  <c r="M143" i="10" s="1"/>
  <c r="K143" i="10"/>
  <c r="J143" i="10"/>
  <c r="F143" i="10"/>
  <c r="L142" i="10"/>
  <c r="M142" i="10" s="1"/>
  <c r="K142" i="10"/>
  <c r="J142" i="10"/>
  <c r="F142" i="10"/>
  <c r="L141" i="10"/>
  <c r="M141" i="10" s="1"/>
  <c r="K141" i="10"/>
  <c r="J141" i="10"/>
  <c r="F141" i="10"/>
  <c r="L140" i="10"/>
  <c r="M140" i="10" s="1"/>
  <c r="K140" i="10"/>
  <c r="J140" i="10"/>
  <c r="F140" i="10"/>
  <c r="L139" i="10"/>
  <c r="M139" i="10" s="1"/>
  <c r="K139" i="10"/>
  <c r="J139" i="10"/>
  <c r="F139" i="10"/>
  <c r="L138" i="10"/>
  <c r="M138" i="10" s="1"/>
  <c r="K138" i="10"/>
  <c r="J138" i="10"/>
  <c r="F138" i="10"/>
  <c r="L137" i="10"/>
  <c r="M137" i="10" s="1"/>
  <c r="K137" i="10"/>
  <c r="J137" i="10"/>
  <c r="F137" i="10"/>
  <c r="L136" i="10"/>
  <c r="M136" i="10" s="1"/>
  <c r="K136" i="10"/>
  <c r="J136" i="10"/>
  <c r="F136" i="10"/>
  <c r="L135" i="10"/>
  <c r="M135" i="10" s="1"/>
  <c r="K135" i="10"/>
  <c r="J135" i="10"/>
  <c r="F135" i="10"/>
  <c r="L134" i="10"/>
  <c r="M134" i="10" s="1"/>
  <c r="K134" i="10"/>
  <c r="J134" i="10"/>
  <c r="F134" i="10"/>
  <c r="L133" i="10"/>
  <c r="M133" i="10" s="1"/>
  <c r="K133" i="10"/>
  <c r="J133" i="10"/>
  <c r="F133" i="10"/>
  <c r="L132" i="10"/>
  <c r="M132" i="10" s="1"/>
  <c r="K132" i="10"/>
  <c r="J132" i="10"/>
  <c r="F132" i="10"/>
  <c r="L131" i="10"/>
  <c r="M131" i="10" s="1"/>
  <c r="K131" i="10"/>
  <c r="J131" i="10"/>
  <c r="F131" i="10"/>
  <c r="L130" i="10"/>
  <c r="M130" i="10" s="1"/>
  <c r="K130" i="10"/>
  <c r="J130" i="10"/>
  <c r="F130" i="10"/>
  <c r="L129" i="10"/>
  <c r="M129" i="10" s="1"/>
  <c r="K129" i="10"/>
  <c r="J129" i="10"/>
  <c r="F129" i="10"/>
  <c r="L128" i="10"/>
  <c r="M128" i="10" s="1"/>
  <c r="K128" i="10"/>
  <c r="J128" i="10"/>
  <c r="F128" i="10"/>
  <c r="L127" i="10"/>
  <c r="M127" i="10" s="1"/>
  <c r="K127" i="10"/>
  <c r="J127" i="10"/>
  <c r="F127" i="10"/>
  <c r="L126" i="10"/>
  <c r="M126" i="10" s="1"/>
  <c r="K126" i="10"/>
  <c r="J126" i="10"/>
  <c r="F126" i="10"/>
  <c r="L125" i="10"/>
  <c r="M125" i="10" s="1"/>
  <c r="K125" i="10"/>
  <c r="J125" i="10"/>
  <c r="F125" i="10"/>
  <c r="L124" i="10"/>
  <c r="M124" i="10" s="1"/>
  <c r="K124" i="10"/>
  <c r="J124" i="10"/>
  <c r="F124" i="10"/>
  <c r="L123" i="10"/>
  <c r="M123" i="10" s="1"/>
  <c r="K123" i="10"/>
  <c r="J123" i="10"/>
  <c r="F123" i="10"/>
  <c r="L122" i="10"/>
  <c r="M122" i="10" s="1"/>
  <c r="K122" i="10"/>
  <c r="J122" i="10"/>
  <c r="F122" i="10"/>
  <c r="L121" i="10"/>
  <c r="M121" i="10" s="1"/>
  <c r="K121" i="10"/>
  <c r="J121" i="10"/>
  <c r="F121" i="10"/>
  <c r="L120" i="10"/>
  <c r="M120" i="10" s="1"/>
  <c r="K120" i="10"/>
  <c r="J120" i="10"/>
  <c r="F120" i="10"/>
  <c r="L119" i="10"/>
  <c r="M119" i="10" s="1"/>
  <c r="K119" i="10"/>
  <c r="J119" i="10"/>
  <c r="F119" i="10"/>
  <c r="L118" i="10"/>
  <c r="M118" i="10" s="1"/>
  <c r="K118" i="10"/>
  <c r="J118" i="10"/>
  <c r="F118" i="10"/>
  <c r="L117" i="10"/>
  <c r="M117" i="10" s="1"/>
  <c r="K117" i="10"/>
  <c r="J117" i="10"/>
  <c r="F117" i="10"/>
  <c r="L116" i="10"/>
  <c r="M116" i="10" s="1"/>
  <c r="K116" i="10"/>
  <c r="J116" i="10"/>
  <c r="F116" i="10"/>
  <c r="L115" i="10"/>
  <c r="M115" i="10" s="1"/>
  <c r="K115" i="10"/>
  <c r="J115" i="10"/>
  <c r="F115" i="10"/>
  <c r="L114" i="10"/>
  <c r="M114" i="10" s="1"/>
  <c r="K114" i="10"/>
  <c r="J114" i="10"/>
  <c r="F114" i="10"/>
  <c r="L113" i="10"/>
  <c r="M113" i="10" s="1"/>
  <c r="K113" i="10"/>
  <c r="J113" i="10"/>
  <c r="F113" i="10"/>
  <c r="L112" i="10"/>
  <c r="M112" i="10" s="1"/>
  <c r="K112" i="10"/>
  <c r="J112" i="10"/>
  <c r="F112" i="10"/>
  <c r="L111" i="10"/>
  <c r="M111" i="10" s="1"/>
  <c r="K111" i="10"/>
  <c r="J111" i="10"/>
  <c r="F111" i="10"/>
  <c r="L110" i="10"/>
  <c r="M110" i="10" s="1"/>
  <c r="K110" i="10"/>
  <c r="J110" i="10"/>
  <c r="F110" i="10"/>
  <c r="L109" i="10"/>
  <c r="M109" i="10" s="1"/>
  <c r="K109" i="10"/>
  <c r="J109" i="10"/>
  <c r="F109" i="10"/>
  <c r="L108" i="10"/>
  <c r="M108" i="10" s="1"/>
  <c r="K108" i="10"/>
  <c r="J108" i="10"/>
  <c r="F108" i="10"/>
  <c r="L107" i="10"/>
  <c r="M107" i="10" s="1"/>
  <c r="K107" i="10"/>
  <c r="J107" i="10"/>
  <c r="F107" i="10"/>
  <c r="L106" i="10"/>
  <c r="M106" i="10" s="1"/>
  <c r="K106" i="10"/>
  <c r="J106" i="10"/>
  <c r="F106" i="10"/>
  <c r="L105" i="10"/>
  <c r="M105" i="10" s="1"/>
  <c r="K105" i="10"/>
  <c r="J105" i="10"/>
  <c r="F105" i="10"/>
  <c r="L104" i="10"/>
  <c r="M104" i="10" s="1"/>
  <c r="K104" i="10"/>
  <c r="J104" i="10"/>
  <c r="F104" i="10"/>
  <c r="L103" i="10"/>
  <c r="M103" i="10" s="1"/>
  <c r="K103" i="10"/>
  <c r="J103" i="10"/>
  <c r="F103" i="10"/>
  <c r="L102" i="10"/>
  <c r="M102" i="10" s="1"/>
  <c r="K102" i="10"/>
  <c r="J102" i="10"/>
  <c r="F102" i="10"/>
  <c r="L101" i="10"/>
  <c r="M101" i="10" s="1"/>
  <c r="K101" i="10"/>
  <c r="J101" i="10"/>
  <c r="F101" i="10"/>
  <c r="L100" i="10"/>
  <c r="M100" i="10" s="1"/>
  <c r="K100" i="10"/>
  <c r="J100" i="10"/>
  <c r="F100" i="10"/>
  <c r="L99" i="10"/>
  <c r="M99" i="10" s="1"/>
  <c r="K99" i="10"/>
  <c r="J99" i="10"/>
  <c r="F99" i="10"/>
  <c r="L98" i="10"/>
  <c r="M98" i="10" s="1"/>
  <c r="K98" i="10"/>
  <c r="J98" i="10"/>
  <c r="F98" i="10"/>
  <c r="L97" i="10"/>
  <c r="M97" i="10" s="1"/>
  <c r="K97" i="10"/>
  <c r="J97" i="10"/>
  <c r="F97" i="10"/>
  <c r="L96" i="10"/>
  <c r="M96" i="10" s="1"/>
  <c r="K96" i="10"/>
  <c r="J96" i="10"/>
  <c r="F96" i="10"/>
  <c r="L95" i="10"/>
  <c r="M95" i="10" s="1"/>
  <c r="K95" i="10"/>
  <c r="J95" i="10"/>
  <c r="F95" i="10"/>
  <c r="L94" i="10"/>
  <c r="M94" i="10" s="1"/>
  <c r="K94" i="10"/>
  <c r="J94" i="10"/>
  <c r="F94" i="10"/>
  <c r="L93" i="10"/>
  <c r="M93" i="10" s="1"/>
  <c r="K93" i="10"/>
  <c r="J93" i="10"/>
  <c r="F93" i="10"/>
  <c r="L92" i="10"/>
  <c r="M92" i="10" s="1"/>
  <c r="K92" i="10"/>
  <c r="J92" i="10"/>
  <c r="F92" i="10"/>
  <c r="L91" i="10"/>
  <c r="M91" i="10" s="1"/>
  <c r="K91" i="10"/>
  <c r="J91" i="10"/>
  <c r="F91" i="10"/>
  <c r="L90" i="10"/>
  <c r="M90" i="10" s="1"/>
  <c r="K90" i="10"/>
  <c r="J90" i="10"/>
  <c r="F90" i="10"/>
  <c r="L89" i="10"/>
  <c r="M89" i="10" s="1"/>
  <c r="K89" i="10"/>
  <c r="J89" i="10"/>
  <c r="F89" i="10"/>
  <c r="L88" i="10"/>
  <c r="M88" i="10" s="1"/>
  <c r="K88" i="10"/>
  <c r="J88" i="10"/>
  <c r="F88" i="10"/>
  <c r="L87" i="10"/>
  <c r="M87" i="10" s="1"/>
  <c r="K87" i="10"/>
  <c r="J87" i="10"/>
  <c r="F87" i="10"/>
  <c r="L86" i="10"/>
  <c r="M86" i="10" s="1"/>
  <c r="K86" i="10"/>
  <c r="J86" i="10"/>
  <c r="F86" i="10"/>
  <c r="L85" i="10"/>
  <c r="M85" i="10" s="1"/>
  <c r="K85" i="10"/>
  <c r="J85" i="10"/>
  <c r="F85" i="10"/>
  <c r="L84" i="10"/>
  <c r="M84" i="10" s="1"/>
  <c r="K84" i="10"/>
  <c r="J84" i="10"/>
  <c r="F84" i="10"/>
  <c r="L83" i="10"/>
  <c r="M83" i="10" s="1"/>
  <c r="K83" i="10"/>
  <c r="J83" i="10"/>
  <c r="F83" i="10"/>
  <c r="L82" i="10"/>
  <c r="M82" i="10" s="1"/>
  <c r="K82" i="10"/>
  <c r="J82" i="10"/>
  <c r="F82" i="10"/>
  <c r="L81" i="10"/>
  <c r="M81" i="10" s="1"/>
  <c r="K81" i="10"/>
  <c r="J81" i="10"/>
  <c r="F81" i="10"/>
  <c r="L80" i="10"/>
  <c r="M80" i="10" s="1"/>
  <c r="K80" i="10"/>
  <c r="J80" i="10"/>
  <c r="F80" i="10"/>
  <c r="L79" i="10"/>
  <c r="M79" i="10" s="1"/>
  <c r="K79" i="10"/>
  <c r="J79" i="10"/>
  <c r="F79" i="10"/>
  <c r="L78" i="10"/>
  <c r="M78" i="10" s="1"/>
  <c r="K78" i="10"/>
  <c r="J78" i="10"/>
  <c r="F78" i="10"/>
  <c r="L77" i="10"/>
  <c r="M77" i="10" s="1"/>
  <c r="K77" i="10"/>
  <c r="J77" i="10"/>
  <c r="F77" i="10"/>
  <c r="L76" i="10"/>
  <c r="M76" i="10" s="1"/>
  <c r="K76" i="10"/>
  <c r="J76" i="10"/>
  <c r="F76" i="10"/>
  <c r="L75" i="10"/>
  <c r="M75" i="10" s="1"/>
  <c r="K75" i="10"/>
  <c r="J75" i="10"/>
  <c r="F75" i="10"/>
  <c r="L74" i="10"/>
  <c r="M74" i="10" s="1"/>
  <c r="K74" i="10"/>
  <c r="J74" i="10"/>
  <c r="F74" i="10"/>
  <c r="L73" i="10"/>
  <c r="M73" i="10" s="1"/>
  <c r="K73" i="10"/>
  <c r="J73" i="10"/>
  <c r="F73" i="10"/>
  <c r="L72" i="10"/>
  <c r="M72" i="10" s="1"/>
  <c r="K72" i="10"/>
  <c r="J72" i="10"/>
  <c r="F72" i="10"/>
  <c r="L71" i="10"/>
  <c r="M71" i="10" s="1"/>
  <c r="K71" i="10"/>
  <c r="J71" i="10"/>
  <c r="F71" i="10"/>
  <c r="L70" i="10"/>
  <c r="M70" i="10" s="1"/>
  <c r="K70" i="10"/>
  <c r="J70" i="10"/>
  <c r="F70" i="10"/>
  <c r="L69" i="10"/>
  <c r="M69" i="10" s="1"/>
  <c r="K69" i="10"/>
  <c r="J69" i="10"/>
  <c r="F69" i="10"/>
  <c r="L68" i="10"/>
  <c r="M68" i="10" s="1"/>
  <c r="K68" i="10"/>
  <c r="J68" i="10"/>
  <c r="F68" i="10"/>
  <c r="L67" i="10"/>
  <c r="M67" i="10" s="1"/>
  <c r="K67" i="10"/>
  <c r="J67" i="10"/>
  <c r="F67" i="10"/>
  <c r="L66" i="10"/>
  <c r="M66" i="10" s="1"/>
  <c r="K66" i="10"/>
  <c r="J66" i="10"/>
  <c r="F66" i="10"/>
  <c r="L65" i="10"/>
  <c r="M65" i="10" s="1"/>
  <c r="K65" i="10"/>
  <c r="J65" i="10"/>
  <c r="F65" i="10"/>
  <c r="L64" i="10"/>
  <c r="M64" i="10" s="1"/>
  <c r="K64" i="10"/>
  <c r="J64" i="10"/>
  <c r="F64" i="10"/>
  <c r="L63" i="10"/>
  <c r="M63" i="10" s="1"/>
  <c r="K63" i="10"/>
  <c r="J63" i="10"/>
  <c r="F63" i="10"/>
  <c r="L62" i="10"/>
  <c r="M62" i="10" s="1"/>
  <c r="K62" i="10"/>
  <c r="J62" i="10"/>
  <c r="F62" i="10"/>
  <c r="L61" i="10"/>
  <c r="M61" i="10" s="1"/>
  <c r="K61" i="10"/>
  <c r="J61" i="10"/>
  <c r="F61" i="10"/>
  <c r="L60" i="10"/>
  <c r="M60" i="10" s="1"/>
  <c r="K60" i="10"/>
  <c r="J60" i="10"/>
  <c r="F60" i="10"/>
  <c r="L59" i="10"/>
  <c r="M59" i="10" s="1"/>
  <c r="K59" i="10"/>
  <c r="J59" i="10"/>
  <c r="F59" i="10"/>
  <c r="L58" i="10"/>
  <c r="M58" i="10" s="1"/>
  <c r="K58" i="10"/>
  <c r="J58" i="10"/>
  <c r="F58" i="10"/>
  <c r="L57" i="10"/>
  <c r="M57" i="10" s="1"/>
  <c r="K57" i="10"/>
  <c r="J57" i="10"/>
  <c r="F57" i="10"/>
  <c r="L56" i="10"/>
  <c r="M56" i="10" s="1"/>
  <c r="K56" i="10"/>
  <c r="J56" i="10"/>
  <c r="F56" i="10"/>
  <c r="L55" i="10"/>
  <c r="M55" i="10" s="1"/>
  <c r="K55" i="10"/>
  <c r="J55" i="10"/>
  <c r="F55" i="10"/>
  <c r="L54" i="10"/>
  <c r="M54" i="10" s="1"/>
  <c r="K54" i="10"/>
  <c r="J54" i="10"/>
  <c r="F54" i="10"/>
  <c r="L53" i="10"/>
  <c r="M53" i="10" s="1"/>
  <c r="K53" i="10"/>
  <c r="J53" i="10"/>
  <c r="F53" i="10"/>
  <c r="L52" i="10"/>
  <c r="M52" i="10" s="1"/>
  <c r="K52" i="10"/>
  <c r="J52" i="10"/>
  <c r="F52" i="10"/>
  <c r="L51" i="10"/>
  <c r="M51" i="10" s="1"/>
  <c r="K51" i="10"/>
  <c r="J51" i="10"/>
  <c r="F51" i="10"/>
  <c r="L50" i="10"/>
  <c r="M50" i="10" s="1"/>
  <c r="K50" i="10"/>
  <c r="J50" i="10"/>
  <c r="F50" i="10"/>
  <c r="L49" i="10"/>
  <c r="M49" i="10" s="1"/>
  <c r="K49" i="10"/>
  <c r="J49" i="10"/>
  <c r="F49" i="10"/>
  <c r="L48" i="10"/>
  <c r="M48" i="10" s="1"/>
  <c r="K48" i="10"/>
  <c r="J48" i="10"/>
  <c r="F48" i="10"/>
  <c r="L47" i="10"/>
  <c r="M47" i="10" s="1"/>
  <c r="K47" i="10"/>
  <c r="J47" i="10"/>
  <c r="F47" i="10"/>
  <c r="L46" i="10"/>
  <c r="M46" i="10" s="1"/>
  <c r="K46" i="10"/>
  <c r="J46" i="10"/>
  <c r="F46" i="10"/>
  <c r="L45" i="10"/>
  <c r="M45" i="10" s="1"/>
  <c r="K45" i="10"/>
  <c r="J45" i="10"/>
  <c r="F45" i="10"/>
  <c r="L44" i="10"/>
  <c r="M44" i="10" s="1"/>
  <c r="K44" i="10"/>
  <c r="J44" i="10"/>
  <c r="F44" i="10"/>
  <c r="L43" i="10"/>
  <c r="M43" i="10" s="1"/>
  <c r="K43" i="10"/>
  <c r="J43" i="10"/>
  <c r="F43" i="10"/>
  <c r="L42" i="10"/>
  <c r="M42" i="10" s="1"/>
  <c r="K42" i="10"/>
  <c r="J42" i="10"/>
  <c r="F42" i="10"/>
  <c r="L41" i="10"/>
  <c r="M41" i="10" s="1"/>
  <c r="K41" i="10"/>
  <c r="J41" i="10"/>
  <c r="F41" i="10"/>
  <c r="L40" i="10"/>
  <c r="M40" i="10" s="1"/>
  <c r="K40" i="10"/>
  <c r="J40" i="10"/>
  <c r="F40" i="10"/>
  <c r="L39" i="10"/>
  <c r="M39" i="10" s="1"/>
  <c r="K39" i="10"/>
  <c r="J39" i="10"/>
  <c r="F39" i="10"/>
  <c r="L38" i="10"/>
  <c r="M38" i="10" s="1"/>
  <c r="K38" i="10"/>
  <c r="J38" i="10"/>
  <c r="F38" i="10"/>
  <c r="L37" i="10"/>
  <c r="M37" i="10" s="1"/>
  <c r="K37" i="10"/>
  <c r="J37" i="10"/>
  <c r="F37" i="10"/>
  <c r="L36" i="10"/>
  <c r="M36" i="10" s="1"/>
  <c r="K36" i="10"/>
  <c r="J36" i="10"/>
  <c r="F36" i="10"/>
  <c r="L35" i="10"/>
  <c r="M35" i="10" s="1"/>
  <c r="K35" i="10"/>
  <c r="J35" i="10"/>
  <c r="F35" i="10"/>
  <c r="L34" i="10"/>
  <c r="M34" i="10" s="1"/>
  <c r="K34" i="10"/>
  <c r="J34" i="10"/>
  <c r="F34" i="10"/>
  <c r="L33" i="10"/>
  <c r="M33" i="10" s="1"/>
  <c r="K33" i="10"/>
  <c r="J33" i="10"/>
  <c r="F33" i="10"/>
  <c r="L32" i="10"/>
  <c r="M32" i="10" s="1"/>
  <c r="K32" i="10"/>
  <c r="J32" i="10"/>
  <c r="F32" i="10"/>
  <c r="L31" i="10"/>
  <c r="M31" i="10" s="1"/>
  <c r="K31" i="10"/>
  <c r="J31" i="10"/>
  <c r="F31" i="10"/>
  <c r="L30" i="10"/>
  <c r="M30" i="10" s="1"/>
  <c r="K30" i="10"/>
  <c r="J30" i="10"/>
  <c r="F30" i="10"/>
  <c r="L29" i="10"/>
  <c r="M29" i="10" s="1"/>
  <c r="K29" i="10"/>
  <c r="J29" i="10"/>
  <c r="F29" i="10"/>
  <c r="L28" i="10"/>
  <c r="M28" i="10" s="1"/>
  <c r="K28" i="10"/>
  <c r="J28" i="10"/>
  <c r="F28" i="10"/>
  <c r="L27" i="10"/>
  <c r="M27" i="10" s="1"/>
  <c r="K27" i="10"/>
  <c r="J27" i="10"/>
  <c r="F27" i="10"/>
  <c r="L26" i="10"/>
  <c r="M26" i="10" s="1"/>
  <c r="K26" i="10"/>
  <c r="J26" i="10"/>
  <c r="F26" i="10"/>
  <c r="L25" i="10"/>
  <c r="M25" i="10" s="1"/>
  <c r="K25" i="10"/>
  <c r="J25" i="10"/>
  <c r="F25" i="10"/>
  <c r="L24" i="10"/>
  <c r="M24" i="10" s="1"/>
  <c r="K24" i="10"/>
  <c r="J24" i="10"/>
  <c r="F24" i="10"/>
  <c r="L23" i="10"/>
  <c r="M23" i="10" s="1"/>
  <c r="K23" i="10"/>
  <c r="J23" i="10"/>
  <c r="F23" i="10"/>
  <c r="L22" i="10"/>
  <c r="M22" i="10" s="1"/>
  <c r="K22" i="10"/>
  <c r="J22" i="10"/>
  <c r="F22" i="10"/>
  <c r="L21" i="10"/>
  <c r="M21" i="10" s="1"/>
  <c r="K21" i="10"/>
  <c r="J21" i="10"/>
  <c r="F21" i="10"/>
  <c r="L20" i="10"/>
  <c r="M20" i="10" s="1"/>
  <c r="K20" i="10"/>
  <c r="J20" i="10"/>
  <c r="F20" i="10"/>
  <c r="L19" i="10"/>
  <c r="M19" i="10" s="1"/>
  <c r="K19" i="10"/>
  <c r="J19" i="10"/>
  <c r="F19" i="10"/>
  <c r="L18" i="10"/>
  <c r="M18" i="10" s="1"/>
  <c r="K18" i="10"/>
  <c r="J18" i="10"/>
  <c r="F18" i="10"/>
  <c r="L17" i="10"/>
  <c r="M17" i="10" s="1"/>
  <c r="K17" i="10"/>
  <c r="J17" i="10"/>
  <c r="F17" i="10"/>
  <c r="L16" i="10"/>
  <c r="M16" i="10" s="1"/>
  <c r="K16" i="10"/>
  <c r="J16" i="10"/>
  <c r="F16" i="10"/>
  <c r="L15" i="10"/>
  <c r="M15" i="10" s="1"/>
  <c r="K15" i="10"/>
  <c r="J15" i="10"/>
  <c r="F15" i="10"/>
  <c r="L14" i="10"/>
  <c r="M14" i="10" s="1"/>
  <c r="K14" i="10"/>
  <c r="J14" i="10"/>
  <c r="F14" i="10"/>
  <c r="L13" i="10"/>
  <c r="M13" i="10" s="1"/>
  <c r="K13" i="10"/>
  <c r="J13" i="10"/>
  <c r="F13" i="10"/>
  <c r="L12" i="10"/>
  <c r="M12" i="10" s="1"/>
  <c r="K12" i="10"/>
  <c r="J12" i="10"/>
  <c r="F12" i="10"/>
  <c r="L11" i="10"/>
  <c r="M11" i="10" s="1"/>
  <c r="K11" i="10"/>
  <c r="J11" i="10"/>
  <c r="F11" i="10"/>
  <c r="L10" i="10"/>
  <c r="M10" i="10" s="1"/>
  <c r="K10" i="10"/>
  <c r="J10" i="10"/>
  <c r="F10" i="10"/>
  <c r="L9" i="10"/>
  <c r="K9" i="10"/>
  <c r="J9" i="10"/>
  <c r="F9" i="10"/>
  <c r="I47" i="9"/>
  <c r="H47" i="9"/>
  <c r="L46" i="9"/>
  <c r="M46" i="9" s="1"/>
  <c r="K46" i="9"/>
  <c r="J46" i="9"/>
  <c r="F46" i="9"/>
  <c r="L45" i="9"/>
  <c r="M45" i="9" s="1"/>
  <c r="K45" i="9"/>
  <c r="J45" i="9"/>
  <c r="F45" i="9"/>
  <c r="L44" i="9"/>
  <c r="M44" i="9" s="1"/>
  <c r="K44" i="9"/>
  <c r="J44" i="9"/>
  <c r="F44" i="9"/>
  <c r="L43" i="9"/>
  <c r="M43" i="9" s="1"/>
  <c r="K43" i="9"/>
  <c r="J43" i="9"/>
  <c r="F43" i="9"/>
  <c r="L42" i="9"/>
  <c r="M42" i="9" s="1"/>
  <c r="K42" i="9"/>
  <c r="J42" i="9"/>
  <c r="F42" i="9"/>
  <c r="L41" i="9"/>
  <c r="M41" i="9" s="1"/>
  <c r="K41" i="9"/>
  <c r="J41" i="9"/>
  <c r="F41" i="9"/>
  <c r="L40" i="9"/>
  <c r="M40" i="9" s="1"/>
  <c r="K40" i="9"/>
  <c r="J40" i="9"/>
  <c r="F40" i="9"/>
  <c r="L39" i="9"/>
  <c r="M39" i="9" s="1"/>
  <c r="K39" i="9"/>
  <c r="J39" i="9"/>
  <c r="F39" i="9"/>
  <c r="L38" i="9"/>
  <c r="M38" i="9" s="1"/>
  <c r="K38" i="9"/>
  <c r="J38" i="9"/>
  <c r="F38" i="9"/>
  <c r="L37" i="9"/>
  <c r="M37" i="9" s="1"/>
  <c r="K37" i="9"/>
  <c r="J37" i="9"/>
  <c r="F37" i="9"/>
  <c r="L36" i="9"/>
  <c r="M36" i="9" s="1"/>
  <c r="K36" i="9"/>
  <c r="J36" i="9"/>
  <c r="F36" i="9"/>
  <c r="L35" i="9"/>
  <c r="M35" i="9" s="1"/>
  <c r="K35" i="9"/>
  <c r="J35" i="9"/>
  <c r="F35" i="9"/>
  <c r="L34" i="9"/>
  <c r="M34" i="9" s="1"/>
  <c r="K34" i="9"/>
  <c r="J34" i="9"/>
  <c r="F34" i="9"/>
  <c r="L33" i="9"/>
  <c r="M33" i="9" s="1"/>
  <c r="K33" i="9"/>
  <c r="J33" i="9"/>
  <c r="F33" i="9"/>
  <c r="L32" i="9"/>
  <c r="M32" i="9" s="1"/>
  <c r="K32" i="9"/>
  <c r="J32" i="9"/>
  <c r="F32" i="9"/>
  <c r="L31" i="9"/>
  <c r="M31" i="9" s="1"/>
  <c r="K31" i="9"/>
  <c r="J31" i="9"/>
  <c r="F31" i="9"/>
  <c r="L30" i="9"/>
  <c r="M30" i="9" s="1"/>
  <c r="K30" i="9"/>
  <c r="J30" i="9"/>
  <c r="F30" i="9"/>
  <c r="L29" i="9"/>
  <c r="M29" i="9" s="1"/>
  <c r="K29" i="9"/>
  <c r="J29" i="9"/>
  <c r="F29" i="9"/>
  <c r="L28" i="9"/>
  <c r="M28" i="9" s="1"/>
  <c r="K28" i="9"/>
  <c r="J28" i="9"/>
  <c r="F28" i="9"/>
  <c r="L27" i="9"/>
  <c r="M27" i="9" s="1"/>
  <c r="K27" i="9"/>
  <c r="J27" i="9"/>
  <c r="F27" i="9"/>
  <c r="L26" i="9"/>
  <c r="M26" i="9" s="1"/>
  <c r="K26" i="9"/>
  <c r="J26" i="9"/>
  <c r="F26" i="9"/>
  <c r="L25" i="9"/>
  <c r="M25" i="9" s="1"/>
  <c r="K25" i="9"/>
  <c r="J25" i="9"/>
  <c r="F25" i="9"/>
  <c r="L24" i="9"/>
  <c r="M24" i="9" s="1"/>
  <c r="K24" i="9"/>
  <c r="J24" i="9"/>
  <c r="F24" i="9"/>
  <c r="L23" i="9"/>
  <c r="M23" i="9" s="1"/>
  <c r="K23" i="9"/>
  <c r="J23" i="9"/>
  <c r="F23" i="9"/>
  <c r="L22" i="9"/>
  <c r="M22" i="9" s="1"/>
  <c r="K22" i="9"/>
  <c r="J22" i="9"/>
  <c r="F22" i="9"/>
  <c r="L21" i="9"/>
  <c r="M21" i="9" s="1"/>
  <c r="K21" i="9"/>
  <c r="J21" i="9"/>
  <c r="F21" i="9"/>
  <c r="L20" i="9"/>
  <c r="M20" i="9" s="1"/>
  <c r="K20" i="9"/>
  <c r="J20" i="9"/>
  <c r="F20" i="9"/>
  <c r="L19" i="9"/>
  <c r="M19" i="9" s="1"/>
  <c r="K19" i="9"/>
  <c r="J19" i="9"/>
  <c r="F19" i="9"/>
  <c r="L18" i="9"/>
  <c r="M18" i="9" s="1"/>
  <c r="K18" i="9"/>
  <c r="J18" i="9"/>
  <c r="F18" i="9"/>
  <c r="L17" i="9"/>
  <c r="M17" i="9" s="1"/>
  <c r="K17" i="9"/>
  <c r="J17" i="9"/>
  <c r="F17" i="9"/>
  <c r="L16" i="9"/>
  <c r="M16" i="9" s="1"/>
  <c r="K16" i="9"/>
  <c r="J16" i="9"/>
  <c r="F16" i="9"/>
  <c r="L15" i="9"/>
  <c r="M15" i="9" s="1"/>
  <c r="K15" i="9"/>
  <c r="J15" i="9"/>
  <c r="F15" i="9"/>
  <c r="L14" i="9"/>
  <c r="M14" i="9" s="1"/>
  <c r="K14" i="9"/>
  <c r="J14" i="9"/>
  <c r="F14" i="9"/>
  <c r="L13" i="9"/>
  <c r="M13" i="9" s="1"/>
  <c r="K13" i="9"/>
  <c r="J13" i="9"/>
  <c r="F13" i="9"/>
  <c r="L12" i="9"/>
  <c r="M12" i="9" s="1"/>
  <c r="K12" i="9"/>
  <c r="J12" i="9"/>
  <c r="F12" i="9"/>
  <c r="L11" i="9"/>
  <c r="M11" i="9" s="1"/>
  <c r="K11" i="9"/>
  <c r="J11" i="9"/>
  <c r="F11" i="9"/>
  <c r="L10" i="9"/>
  <c r="M10" i="9" s="1"/>
  <c r="K10" i="9"/>
  <c r="J10" i="9"/>
  <c r="F10" i="9"/>
  <c r="L9" i="9"/>
  <c r="K9" i="9"/>
  <c r="J9" i="9"/>
  <c r="F9" i="9"/>
  <c r="L8" i="9"/>
  <c r="M8" i="9" s="1"/>
  <c r="K8" i="9"/>
  <c r="J8" i="9"/>
  <c r="F8" i="9"/>
  <c r="I103" i="8"/>
  <c r="H103" i="8"/>
  <c r="L102" i="8"/>
  <c r="M102" i="8" s="1"/>
  <c r="K102" i="8"/>
  <c r="J102" i="8"/>
  <c r="F102" i="8"/>
  <c r="M101" i="8"/>
  <c r="L101" i="8"/>
  <c r="K101" i="8"/>
  <c r="J101" i="8"/>
  <c r="F101" i="8"/>
  <c r="L100" i="8"/>
  <c r="M100" i="8" s="1"/>
  <c r="K100" i="8"/>
  <c r="J100" i="8"/>
  <c r="F100" i="8"/>
  <c r="M99" i="8"/>
  <c r="L99" i="8"/>
  <c r="K99" i="8"/>
  <c r="J99" i="8"/>
  <c r="F99" i="8"/>
  <c r="L98" i="8"/>
  <c r="M98" i="8" s="1"/>
  <c r="K98" i="8"/>
  <c r="J98" i="8"/>
  <c r="F98" i="8"/>
  <c r="M97" i="8"/>
  <c r="L97" i="8"/>
  <c r="K97" i="8"/>
  <c r="J97" i="8"/>
  <c r="F97" i="8"/>
  <c r="L96" i="8"/>
  <c r="M96" i="8" s="1"/>
  <c r="K96" i="8"/>
  <c r="J96" i="8"/>
  <c r="F96" i="8"/>
  <c r="M95" i="8"/>
  <c r="L95" i="8"/>
  <c r="K95" i="8"/>
  <c r="J95" i="8"/>
  <c r="F95" i="8"/>
  <c r="L94" i="8"/>
  <c r="M94" i="8" s="1"/>
  <c r="K94" i="8"/>
  <c r="J94" i="8"/>
  <c r="F94" i="8"/>
  <c r="M93" i="8"/>
  <c r="L93" i="8"/>
  <c r="K93" i="8"/>
  <c r="J93" i="8"/>
  <c r="F93" i="8"/>
  <c r="L92" i="8"/>
  <c r="M92" i="8" s="1"/>
  <c r="K92" i="8"/>
  <c r="J92" i="8"/>
  <c r="F92" i="8"/>
  <c r="M91" i="8"/>
  <c r="L91" i="8"/>
  <c r="K91" i="8"/>
  <c r="J91" i="8"/>
  <c r="F91" i="8"/>
  <c r="L90" i="8"/>
  <c r="M90" i="8" s="1"/>
  <c r="K90" i="8"/>
  <c r="J90" i="8"/>
  <c r="F90" i="8"/>
  <c r="M89" i="8"/>
  <c r="L89" i="8"/>
  <c r="K89" i="8"/>
  <c r="J89" i="8"/>
  <c r="F89" i="8"/>
  <c r="L88" i="8"/>
  <c r="M88" i="8" s="1"/>
  <c r="K88" i="8"/>
  <c r="J88" i="8"/>
  <c r="F88" i="8"/>
  <c r="M87" i="8"/>
  <c r="L87" i="8"/>
  <c r="K87" i="8"/>
  <c r="J87" i="8"/>
  <c r="F87" i="8"/>
  <c r="L86" i="8"/>
  <c r="M86" i="8" s="1"/>
  <c r="K86" i="8"/>
  <c r="J86" i="8"/>
  <c r="F86" i="8"/>
  <c r="M85" i="8"/>
  <c r="L85" i="8"/>
  <c r="K85" i="8"/>
  <c r="J85" i="8"/>
  <c r="F85" i="8"/>
  <c r="L84" i="8"/>
  <c r="M84" i="8" s="1"/>
  <c r="K84" i="8"/>
  <c r="J84" i="8"/>
  <c r="F84" i="8"/>
  <c r="M83" i="8"/>
  <c r="L83" i="8"/>
  <c r="K83" i="8"/>
  <c r="J83" i="8"/>
  <c r="F83" i="8"/>
  <c r="L82" i="8"/>
  <c r="M82" i="8" s="1"/>
  <c r="K82" i="8"/>
  <c r="J82" i="8"/>
  <c r="F82" i="8"/>
  <c r="M81" i="8"/>
  <c r="L81" i="8"/>
  <c r="K81" i="8"/>
  <c r="J81" i="8"/>
  <c r="F81" i="8"/>
  <c r="L80" i="8"/>
  <c r="M80" i="8" s="1"/>
  <c r="K80" i="8"/>
  <c r="J80" i="8"/>
  <c r="F80" i="8"/>
  <c r="M79" i="8"/>
  <c r="L79" i="8"/>
  <c r="K79" i="8"/>
  <c r="J79" i="8"/>
  <c r="F79" i="8"/>
  <c r="L78" i="8"/>
  <c r="M78" i="8" s="1"/>
  <c r="K78" i="8"/>
  <c r="J78" i="8"/>
  <c r="F78" i="8"/>
  <c r="M77" i="8"/>
  <c r="L77" i="8"/>
  <c r="K77" i="8"/>
  <c r="J77" i="8"/>
  <c r="F77" i="8"/>
  <c r="L76" i="8"/>
  <c r="M76" i="8" s="1"/>
  <c r="K76" i="8"/>
  <c r="J76" i="8"/>
  <c r="F76" i="8"/>
  <c r="M75" i="8"/>
  <c r="L75" i="8"/>
  <c r="K75" i="8"/>
  <c r="J75" i="8"/>
  <c r="F75" i="8"/>
  <c r="L74" i="8"/>
  <c r="M74" i="8" s="1"/>
  <c r="K74" i="8"/>
  <c r="J74" i="8"/>
  <c r="F74" i="8"/>
  <c r="M73" i="8"/>
  <c r="L73" i="8"/>
  <c r="K73" i="8"/>
  <c r="J73" i="8"/>
  <c r="F73" i="8"/>
  <c r="L72" i="8"/>
  <c r="M72" i="8" s="1"/>
  <c r="K72" i="8"/>
  <c r="J72" i="8"/>
  <c r="F72" i="8"/>
  <c r="M71" i="8"/>
  <c r="L71" i="8"/>
  <c r="K71" i="8"/>
  <c r="J71" i="8"/>
  <c r="F71" i="8"/>
  <c r="L70" i="8"/>
  <c r="M70" i="8" s="1"/>
  <c r="K70" i="8"/>
  <c r="J70" i="8"/>
  <c r="F70" i="8"/>
  <c r="M69" i="8"/>
  <c r="L69" i="8"/>
  <c r="K69" i="8"/>
  <c r="J69" i="8"/>
  <c r="F69" i="8"/>
  <c r="L68" i="8"/>
  <c r="M68" i="8" s="1"/>
  <c r="K68" i="8"/>
  <c r="J68" i="8"/>
  <c r="F68" i="8"/>
  <c r="M67" i="8"/>
  <c r="L67" i="8"/>
  <c r="K67" i="8"/>
  <c r="J67" i="8"/>
  <c r="F67" i="8"/>
  <c r="L66" i="8"/>
  <c r="M66" i="8" s="1"/>
  <c r="K66" i="8"/>
  <c r="J66" i="8"/>
  <c r="F66" i="8"/>
  <c r="M65" i="8"/>
  <c r="L65" i="8"/>
  <c r="K65" i="8"/>
  <c r="J65" i="8"/>
  <c r="F65" i="8"/>
  <c r="L64" i="8"/>
  <c r="M64" i="8" s="1"/>
  <c r="K64" i="8"/>
  <c r="J64" i="8"/>
  <c r="F64" i="8"/>
  <c r="M63" i="8"/>
  <c r="L63" i="8"/>
  <c r="K63" i="8"/>
  <c r="J63" i="8"/>
  <c r="F63" i="8"/>
  <c r="L62" i="8"/>
  <c r="M62" i="8" s="1"/>
  <c r="K62" i="8"/>
  <c r="J62" i="8"/>
  <c r="F62" i="8"/>
  <c r="M61" i="8"/>
  <c r="L61" i="8"/>
  <c r="K61" i="8"/>
  <c r="J61" i="8"/>
  <c r="F61" i="8"/>
  <c r="L60" i="8"/>
  <c r="M60" i="8" s="1"/>
  <c r="K60" i="8"/>
  <c r="J60" i="8"/>
  <c r="F60" i="8"/>
  <c r="M59" i="8"/>
  <c r="L59" i="8"/>
  <c r="K59" i="8"/>
  <c r="J59" i="8"/>
  <c r="F59" i="8"/>
  <c r="L58" i="8"/>
  <c r="M58" i="8" s="1"/>
  <c r="K58" i="8"/>
  <c r="J58" i="8"/>
  <c r="F58" i="8"/>
  <c r="M57" i="8"/>
  <c r="L57" i="8"/>
  <c r="K57" i="8"/>
  <c r="J57" i="8"/>
  <c r="F57" i="8"/>
  <c r="L56" i="8"/>
  <c r="M56" i="8" s="1"/>
  <c r="K56" i="8"/>
  <c r="J56" i="8"/>
  <c r="F56" i="8"/>
  <c r="M55" i="8"/>
  <c r="L55" i="8"/>
  <c r="K55" i="8"/>
  <c r="J55" i="8"/>
  <c r="F55" i="8"/>
  <c r="L54" i="8"/>
  <c r="M54" i="8" s="1"/>
  <c r="K54" i="8"/>
  <c r="J54" i="8"/>
  <c r="F54" i="8"/>
  <c r="M53" i="8"/>
  <c r="L53" i="8"/>
  <c r="K53" i="8"/>
  <c r="J53" i="8"/>
  <c r="F53" i="8"/>
  <c r="L52" i="8"/>
  <c r="M52" i="8" s="1"/>
  <c r="K52" i="8"/>
  <c r="J52" i="8"/>
  <c r="F52" i="8"/>
  <c r="M51" i="8"/>
  <c r="L51" i="8"/>
  <c r="K51" i="8"/>
  <c r="J51" i="8"/>
  <c r="F51" i="8"/>
  <c r="L50" i="8"/>
  <c r="M50" i="8" s="1"/>
  <c r="K50" i="8"/>
  <c r="J50" i="8"/>
  <c r="F50" i="8"/>
  <c r="M49" i="8"/>
  <c r="L49" i="8"/>
  <c r="K49" i="8"/>
  <c r="J49" i="8"/>
  <c r="F49" i="8"/>
  <c r="L48" i="8"/>
  <c r="M48" i="8" s="1"/>
  <c r="K48" i="8"/>
  <c r="J48" i="8"/>
  <c r="F48" i="8"/>
  <c r="M47" i="8"/>
  <c r="L47" i="8"/>
  <c r="K47" i="8"/>
  <c r="J47" i="8"/>
  <c r="F47" i="8"/>
  <c r="L46" i="8"/>
  <c r="M46" i="8" s="1"/>
  <c r="K46" i="8"/>
  <c r="J46" i="8"/>
  <c r="F46" i="8"/>
  <c r="M45" i="8"/>
  <c r="L45" i="8"/>
  <c r="K45" i="8"/>
  <c r="J45" i="8"/>
  <c r="F45" i="8"/>
  <c r="L44" i="8"/>
  <c r="M44" i="8" s="1"/>
  <c r="K44" i="8"/>
  <c r="J44" i="8"/>
  <c r="F44" i="8"/>
  <c r="M43" i="8"/>
  <c r="L43" i="8"/>
  <c r="K43" i="8"/>
  <c r="J43" i="8"/>
  <c r="F43" i="8"/>
  <c r="L42" i="8"/>
  <c r="M42" i="8" s="1"/>
  <c r="K42" i="8"/>
  <c r="J42" i="8"/>
  <c r="F42" i="8"/>
  <c r="M41" i="8"/>
  <c r="L41" i="8"/>
  <c r="K41" i="8"/>
  <c r="J41" i="8"/>
  <c r="F41" i="8"/>
  <c r="L40" i="8"/>
  <c r="M40" i="8" s="1"/>
  <c r="K40" i="8"/>
  <c r="J40" i="8"/>
  <c r="F40" i="8"/>
  <c r="M39" i="8"/>
  <c r="L39" i="8"/>
  <c r="K39" i="8"/>
  <c r="J39" i="8"/>
  <c r="F39" i="8"/>
  <c r="L38" i="8"/>
  <c r="M38" i="8" s="1"/>
  <c r="K38" i="8"/>
  <c r="J38" i="8"/>
  <c r="F38" i="8"/>
  <c r="M37" i="8"/>
  <c r="L37" i="8"/>
  <c r="K37" i="8"/>
  <c r="J37" i="8"/>
  <c r="F37" i="8"/>
  <c r="L36" i="8"/>
  <c r="M36" i="8" s="1"/>
  <c r="K36" i="8"/>
  <c r="J36" i="8"/>
  <c r="F36" i="8"/>
  <c r="M35" i="8"/>
  <c r="L35" i="8"/>
  <c r="K35" i="8"/>
  <c r="J35" i="8"/>
  <c r="F35" i="8"/>
  <c r="L34" i="8"/>
  <c r="M34" i="8" s="1"/>
  <c r="K34" i="8"/>
  <c r="J34" i="8"/>
  <c r="F34" i="8"/>
  <c r="M33" i="8"/>
  <c r="L33" i="8"/>
  <c r="K33" i="8"/>
  <c r="J33" i="8"/>
  <c r="F33" i="8"/>
  <c r="L32" i="8"/>
  <c r="M32" i="8" s="1"/>
  <c r="K32" i="8"/>
  <c r="J32" i="8"/>
  <c r="F32" i="8"/>
  <c r="M31" i="8"/>
  <c r="L31" i="8"/>
  <c r="K31" i="8"/>
  <c r="J31" i="8"/>
  <c r="F31" i="8"/>
  <c r="L30" i="8"/>
  <c r="M30" i="8" s="1"/>
  <c r="K30" i="8"/>
  <c r="J30" i="8"/>
  <c r="F30" i="8"/>
  <c r="M29" i="8"/>
  <c r="L29" i="8"/>
  <c r="K29" i="8"/>
  <c r="J29" i="8"/>
  <c r="F29" i="8"/>
  <c r="L28" i="8"/>
  <c r="M28" i="8" s="1"/>
  <c r="K28" i="8"/>
  <c r="J28" i="8"/>
  <c r="F28" i="8"/>
  <c r="M27" i="8"/>
  <c r="L27" i="8"/>
  <c r="K27" i="8"/>
  <c r="J27" i="8"/>
  <c r="F27" i="8"/>
  <c r="L26" i="8"/>
  <c r="M26" i="8" s="1"/>
  <c r="K26" i="8"/>
  <c r="J26" i="8"/>
  <c r="F26" i="8"/>
  <c r="M25" i="8"/>
  <c r="L25" i="8"/>
  <c r="K25" i="8"/>
  <c r="J25" i="8"/>
  <c r="F25" i="8"/>
  <c r="L24" i="8"/>
  <c r="M24" i="8" s="1"/>
  <c r="K24" i="8"/>
  <c r="J24" i="8"/>
  <c r="F24" i="8"/>
  <c r="M23" i="8"/>
  <c r="L23" i="8"/>
  <c r="K23" i="8"/>
  <c r="J23" i="8"/>
  <c r="F23" i="8"/>
  <c r="L22" i="8"/>
  <c r="M22" i="8" s="1"/>
  <c r="K22" i="8"/>
  <c r="J22" i="8"/>
  <c r="F22" i="8"/>
  <c r="M21" i="8"/>
  <c r="L21" i="8"/>
  <c r="K21" i="8"/>
  <c r="J21" i="8"/>
  <c r="F21" i="8"/>
  <c r="L20" i="8"/>
  <c r="M20" i="8" s="1"/>
  <c r="K20" i="8"/>
  <c r="J20" i="8"/>
  <c r="F20" i="8"/>
  <c r="M19" i="8"/>
  <c r="L19" i="8"/>
  <c r="K19" i="8"/>
  <c r="J19" i="8"/>
  <c r="F19" i="8"/>
  <c r="L18" i="8"/>
  <c r="M18" i="8" s="1"/>
  <c r="K18" i="8"/>
  <c r="J18" i="8"/>
  <c r="F18" i="8"/>
  <c r="M17" i="8"/>
  <c r="L17" i="8"/>
  <c r="K17" i="8"/>
  <c r="J17" i="8"/>
  <c r="F17" i="8"/>
  <c r="L16" i="8"/>
  <c r="M16" i="8" s="1"/>
  <c r="K16" i="8"/>
  <c r="J16" i="8"/>
  <c r="F16" i="8"/>
  <c r="M15" i="8"/>
  <c r="L15" i="8"/>
  <c r="K15" i="8"/>
  <c r="J15" i="8"/>
  <c r="F15" i="8"/>
  <c r="L14" i="8"/>
  <c r="M14" i="8" s="1"/>
  <c r="K14" i="8"/>
  <c r="J14" i="8"/>
  <c r="F14" i="8"/>
  <c r="M13" i="8"/>
  <c r="L13" i="8"/>
  <c r="K13" i="8"/>
  <c r="J13" i="8"/>
  <c r="F13" i="8"/>
  <c r="L12" i="8"/>
  <c r="M12" i="8" s="1"/>
  <c r="K12" i="8"/>
  <c r="J12" i="8"/>
  <c r="J103" i="8" s="1"/>
  <c r="F12" i="8"/>
  <c r="M11" i="8"/>
  <c r="L11" i="8"/>
  <c r="K11" i="8"/>
  <c r="J11" i="8"/>
  <c r="F11" i="8"/>
  <c r="L10" i="8"/>
  <c r="M10" i="8" s="1"/>
  <c r="K10" i="8"/>
  <c r="J10" i="8"/>
  <c r="F10" i="8"/>
  <c r="M9" i="8"/>
  <c r="L9" i="8"/>
  <c r="L103" i="8" s="1"/>
  <c r="K9" i="8"/>
  <c r="K103" i="8" s="1"/>
  <c r="J9" i="8"/>
  <c r="F9" i="8"/>
  <c r="J413" i="10" l="1"/>
  <c r="K413" i="10"/>
  <c r="L413" i="10"/>
  <c r="J47" i="9"/>
  <c r="K47" i="9"/>
  <c r="L47" i="9"/>
  <c r="J54" i="11"/>
  <c r="K54" i="11"/>
  <c r="L54" i="11"/>
  <c r="M103" i="8"/>
  <c r="M54" i="11"/>
  <c r="M9" i="12"/>
  <c r="M66" i="12" s="1"/>
  <c r="M9" i="10"/>
  <c r="M413" i="10" s="1"/>
  <c r="M9" i="9"/>
  <c r="M47" i="9" s="1"/>
</calcChain>
</file>

<file path=xl/sharedStrings.xml><?xml version="1.0" encoding="utf-8"?>
<sst xmlns="http://schemas.openxmlformats.org/spreadsheetml/2006/main" count="2538" uniqueCount="696">
  <si>
    <t>Manuel Rui Azinhais Nabeiro, Lda. / Contabilidade</t>
  </si>
  <si>
    <t>0008</t>
  </si>
  <si>
    <t>0009</t>
  </si>
  <si>
    <t>0011</t>
  </si>
  <si>
    <t>0022</t>
  </si>
  <si>
    <t>0044</t>
  </si>
  <si>
    <t>Material</t>
  </si>
  <si>
    <t>Preço</t>
  </si>
  <si>
    <t>UMB</t>
  </si>
  <si>
    <t>017340</t>
  </si>
  <si>
    <t>QAOS 30N</t>
  </si>
  <si>
    <t>UN</t>
  </si>
  <si>
    <t>017341</t>
  </si>
  <si>
    <t>QAOS 50N</t>
  </si>
  <si>
    <t>1058198</t>
  </si>
  <si>
    <t>EXPOSITOR DUPLO DELTA Q CÁPSULAS</t>
  </si>
  <si>
    <t>1</t>
  </si>
  <si>
    <t>701321</t>
  </si>
  <si>
    <t>VRA AM CAIADO RS2020 750ML</t>
  </si>
  <si>
    <t>LAM02224</t>
  </si>
  <si>
    <t>LAM14924</t>
  </si>
  <si>
    <t>703843</t>
  </si>
  <si>
    <t>SACA-ROLHAS ADEGA MAYOR</t>
  </si>
  <si>
    <t>7801734</t>
  </si>
  <si>
    <t>DELTA COLÔMBIA COFFEE MU 250g</t>
  </si>
  <si>
    <t>7802415</t>
  </si>
  <si>
    <t>DELTA TIMOR COFFEE MU 250g</t>
  </si>
  <si>
    <t>6289970</t>
  </si>
  <si>
    <t>7803139</t>
  </si>
  <si>
    <t>DELTA Q CANELA COFFEE 10CAP</t>
  </si>
  <si>
    <t>7803174</t>
  </si>
  <si>
    <t>DELTA Q MYTHIQ COFFEE 10CAP</t>
  </si>
  <si>
    <t>7805018</t>
  </si>
  <si>
    <t>DELTA Q EPIQ COFFEE 10CAP</t>
  </si>
  <si>
    <t>6279483</t>
  </si>
  <si>
    <t>7805019</t>
  </si>
  <si>
    <t>DELTA Q QALIDUS COFFEE 10CAP</t>
  </si>
  <si>
    <t>6278827</t>
  </si>
  <si>
    <t>7805020</t>
  </si>
  <si>
    <t>DELTA Q QHARACTER COFFEE 10CAP</t>
  </si>
  <si>
    <t>7805021</t>
  </si>
  <si>
    <t>DELTA Q QHARISMA COFFEE 10CAP</t>
  </si>
  <si>
    <t>7805022</t>
  </si>
  <si>
    <t>DELTA Q QONVICTUS COFFEE 10CAP</t>
  </si>
  <si>
    <t>7805023</t>
  </si>
  <si>
    <t>DELTA Q AQTIVUS COFFEE 10CAP</t>
  </si>
  <si>
    <t>6279487</t>
  </si>
  <si>
    <t>7805108</t>
  </si>
  <si>
    <t>DELTA Q AROMATIQ COFFEE 100CAP</t>
  </si>
  <si>
    <t>7805109</t>
  </si>
  <si>
    <t>DELTA Q PRO MAGNETIQ COFFEE 100CAP</t>
  </si>
  <si>
    <t>7806713</t>
  </si>
  <si>
    <t>DELTA VIETNAM COFFEE MU 250g</t>
  </si>
  <si>
    <t>6283042</t>
  </si>
  <si>
    <t>6287045</t>
  </si>
  <si>
    <t>7862809</t>
  </si>
  <si>
    <t>DELTA Q MENTA &amp; CHOCOLATE 10CAP</t>
  </si>
  <si>
    <t>6279621</t>
  </si>
  <si>
    <t>7925512</t>
  </si>
  <si>
    <t>DELTA Q QALIDUS COFFEE XL40CAP</t>
  </si>
  <si>
    <t>6278933</t>
  </si>
  <si>
    <t>6279468</t>
  </si>
  <si>
    <t>7960002</t>
  </si>
  <si>
    <t>DELTA DRIP COFFEE 5 X 9g</t>
  </si>
  <si>
    <t>6279339</t>
  </si>
  <si>
    <t>851080</t>
  </si>
  <si>
    <t>AZEITONA OXIDADA DESCAROÇADA 160g-BRASIL</t>
  </si>
  <si>
    <t>DFSP</t>
  </si>
  <si>
    <t>012141</t>
  </si>
  <si>
    <t>MAQ MILKQOOL BLACK 220V</t>
  </si>
  <si>
    <t>018672</t>
  </si>
  <si>
    <t>MAQ MINIQOOL AMARELO DELTA Q 220v BR</t>
  </si>
  <si>
    <t>018673</t>
  </si>
  <si>
    <t>MAQ MINIQOOL AMARELO DELTA Q 127v BR</t>
  </si>
  <si>
    <t>230603</t>
  </si>
  <si>
    <t>COPOS PAPEL DELTAQ 87ml (AF2021) MG50</t>
  </si>
  <si>
    <t>MGA</t>
  </si>
  <si>
    <t>COPO PAPEL DELTA S 87 ML MG 50 UN</t>
  </si>
  <si>
    <t>240327</t>
  </si>
  <si>
    <t>EXPOSITOR INTERNACIONAL DELTA Q MÁQUINAS</t>
  </si>
  <si>
    <t>282803</t>
  </si>
  <si>
    <t>CHÁVENA DELTA STANDARD CAPPUCCINO</t>
  </si>
  <si>
    <t>283385</t>
  </si>
  <si>
    <t>CHÁVENA EXP BELLISSIMO 2017</t>
  </si>
  <si>
    <t>283453</t>
  </si>
  <si>
    <t>CHÁVENA CAPPUCCINO BELLISSIMO 2017</t>
  </si>
  <si>
    <t>350903</t>
  </si>
  <si>
    <t>PORTA AÇUCAREIRO DELTA NI</t>
  </si>
  <si>
    <t>LAM07124</t>
  </si>
  <si>
    <t>LAM11524</t>
  </si>
  <si>
    <t>LAM06524</t>
  </si>
  <si>
    <t>703626</t>
  </si>
  <si>
    <t>EXPOSITOR CAIADO</t>
  </si>
  <si>
    <t>704172</t>
  </si>
  <si>
    <t>VM CATRAIO TT 750ml</t>
  </si>
  <si>
    <t>L04223</t>
  </si>
  <si>
    <t>6284995</t>
  </si>
  <si>
    <t>7801736</t>
  </si>
  <si>
    <t>DELTA COLOMBIA COFFEE GR 500g</t>
  </si>
  <si>
    <t>6275418</t>
  </si>
  <si>
    <t>6284999</t>
  </si>
  <si>
    <t>6287896</t>
  </si>
  <si>
    <t>6280136</t>
  </si>
  <si>
    <t>6281440</t>
  </si>
  <si>
    <t>6281478</t>
  </si>
  <si>
    <t>7803428</t>
  </si>
  <si>
    <t>BELLISSIMO D'ORO COFFEE GR Kg</t>
  </si>
  <si>
    <t>6282311</t>
  </si>
  <si>
    <t>6280178</t>
  </si>
  <si>
    <t>6281476</t>
  </si>
  <si>
    <t>6282424</t>
  </si>
  <si>
    <t>6274811</t>
  </si>
  <si>
    <t>6282428</t>
  </si>
  <si>
    <t>6278936</t>
  </si>
  <si>
    <t>6282809</t>
  </si>
  <si>
    <t>7805110</t>
  </si>
  <si>
    <t>DELTA Q COLÔMBIA COFFEE 10CAP</t>
  </si>
  <si>
    <t>6279497</t>
  </si>
  <si>
    <t>6281442</t>
  </si>
  <si>
    <t>7805156</t>
  </si>
  <si>
    <t>DELTAQ FRUTOS SILVESTRES&amp;ESPUMANTE 10CAP</t>
  </si>
  <si>
    <t>6285609</t>
  </si>
  <si>
    <t>6285569</t>
  </si>
  <si>
    <t>7806814</t>
  </si>
  <si>
    <t>DELTA CUBA COFFEE MU 250g</t>
  </si>
  <si>
    <t>6286563</t>
  </si>
  <si>
    <t>7822851</t>
  </si>
  <si>
    <t>DELTA Q QALIDUS DECAF COFFEE 10 CAP</t>
  </si>
  <si>
    <t>6284857</t>
  </si>
  <si>
    <t>DELTA Q QHARACTER COFFEE XL40CAP</t>
  </si>
  <si>
    <t>DELTA Q AQTIVUS COFFEE XL40CAP</t>
  </si>
  <si>
    <t>7925511</t>
  </si>
  <si>
    <t>6285139</t>
  </si>
  <si>
    <t>7925513</t>
  </si>
  <si>
    <t>7925620</t>
  </si>
  <si>
    <t>DELTA Q QALIDUS COFFEE PACK93+7CAP</t>
  </si>
  <si>
    <t>6283597</t>
  </si>
  <si>
    <t>851087</t>
  </si>
  <si>
    <t>PICKLES FRASCO 200g - BRASIL</t>
  </si>
  <si>
    <t>080077</t>
  </si>
  <si>
    <t>012138</t>
  </si>
  <si>
    <t>MAQ MILKQOOL RED 127V</t>
  </si>
  <si>
    <t>012139</t>
  </si>
  <si>
    <t>MAQ MILKQOOL RED 220V</t>
  </si>
  <si>
    <t>012142</t>
  </si>
  <si>
    <t>MAQ MILKQOOL BLACK 127V</t>
  </si>
  <si>
    <t>012150</t>
  </si>
  <si>
    <t>MÁQ. DELTA Q QLIP YELLOW BR 127V</t>
  </si>
  <si>
    <t>012151</t>
  </si>
  <si>
    <t>MÁQ. DELTA Q QLIP YELLOW BR 220V</t>
  </si>
  <si>
    <t>012154</t>
  </si>
  <si>
    <t>MÁQ. DELTA Q QLIP GREEN BR 127V</t>
  </si>
  <si>
    <t>012158</t>
  </si>
  <si>
    <t>MÁQ. DELTA Q QLIP GREY BR 127V</t>
  </si>
  <si>
    <t>5609060099624</t>
  </si>
  <si>
    <t>012250</t>
  </si>
  <si>
    <t>MAQ. MILKQOOL EVOLUTION BRN 127V</t>
  </si>
  <si>
    <t>012252</t>
  </si>
  <si>
    <t>MAQ. MILKQOOL EVOLUTION BRN 220V</t>
  </si>
  <si>
    <t>012562</t>
  </si>
  <si>
    <t>QOOL V2.0 AUTO PRETA 220V BRASIL</t>
  </si>
  <si>
    <t>012960</t>
  </si>
  <si>
    <t>MAQ.QOOL EVOLUTION BLACK 127V BR</t>
  </si>
  <si>
    <t>012962</t>
  </si>
  <si>
    <t>MAQ.QOOL EVOLUTION RED 127V BR</t>
  </si>
  <si>
    <t>012963</t>
  </si>
  <si>
    <t>MAQ.QOOL EVOLUTION BLACK 220v BR</t>
  </si>
  <si>
    <t>012965</t>
  </si>
  <si>
    <t>MAQ.QOOL EVOLUTION RED 220v BR</t>
  </si>
  <si>
    <t>025260</t>
  </si>
  <si>
    <t>MAQ QUICK ANTRACITE DELTA Q 127v BR</t>
  </si>
  <si>
    <t>017262</t>
  </si>
  <si>
    <t>DELTA Q DEQO</t>
  </si>
  <si>
    <t>025203</t>
  </si>
  <si>
    <t>DELTA Q MINI MILKQOOL BLACK BR 127V100</t>
  </si>
  <si>
    <t>025206</t>
  </si>
  <si>
    <t>DELTA Q MINI MILKQOOL BLACK BR 220V</t>
  </si>
  <si>
    <t>025219</t>
  </si>
  <si>
    <t>MAQ MINIQOOL CINZA DELTA Q 127v BR</t>
  </si>
  <si>
    <t>025220</t>
  </si>
  <si>
    <t>MAQ MINIQOOL CINZA DELTA Q 220v BR</t>
  </si>
  <si>
    <t>025223</t>
  </si>
  <si>
    <t>MAQ MINIQOOL VERMELHO DELTA Q 127v BR</t>
  </si>
  <si>
    <t>025224</t>
  </si>
  <si>
    <t>MAQ MINIQOOL VERMELHO DELTA Q 220v BR</t>
  </si>
  <si>
    <t>025229</t>
  </si>
  <si>
    <t>DELTA Q MAQ ICONIQ BLACK BR 127V</t>
  </si>
  <si>
    <t>025231</t>
  </si>
  <si>
    <t>DELTA Q MAQ ICONIQ BLUE BR 127V</t>
  </si>
  <si>
    <t>025232</t>
  </si>
  <si>
    <t>DELTA Q MAQ ICONIQ BLACK BR 220V</t>
  </si>
  <si>
    <t>025234</t>
  </si>
  <si>
    <t>DELTA Q MAQ ICONIQ BLUE BR 220V</t>
  </si>
  <si>
    <t>025256</t>
  </si>
  <si>
    <t>MAQ QUICK VERMELHO DELTA Q 127v BR</t>
  </si>
  <si>
    <t>701203</t>
  </si>
  <si>
    <t>VRA AM SANGIOVESE TT2018 750ML</t>
  </si>
  <si>
    <t>LSG32920</t>
  </si>
  <si>
    <t>701472</t>
  </si>
  <si>
    <t>VRA AM CAIADO TT2021 375ML</t>
  </si>
  <si>
    <t>LAM06023</t>
  </si>
  <si>
    <t>701482</t>
  </si>
  <si>
    <t>VRA AM RES. COMENDADOR TT2019 750ML</t>
  </si>
  <si>
    <t>LRC25822</t>
  </si>
  <si>
    <t>701490</t>
  </si>
  <si>
    <t>VRA AM TOURIGA NACIONAL TT2020 750ML</t>
  </si>
  <si>
    <t>LTN04922</t>
  </si>
  <si>
    <t>701630</t>
  </si>
  <si>
    <t>VRA AM RESERVA BC2022 750ML</t>
  </si>
  <si>
    <t>LRE17723</t>
  </si>
  <si>
    <t>701631</t>
  </si>
  <si>
    <t>VRA AM RESERVA TT2021 750ML</t>
  </si>
  <si>
    <t>LRE05423</t>
  </si>
  <si>
    <t>L08322</t>
  </si>
  <si>
    <t>708500</t>
  </si>
  <si>
    <t>VRA AM CAIADO BC 750ML</t>
  </si>
  <si>
    <t>LAM08025</t>
  </si>
  <si>
    <t>708501</t>
  </si>
  <si>
    <t>VRA AM CAIADO RS 750ML</t>
  </si>
  <si>
    <t>LAM03725</t>
  </si>
  <si>
    <t>708505</t>
  </si>
  <si>
    <t>VRA AM CAIADO TT 750ML</t>
  </si>
  <si>
    <t>LAM32724</t>
  </si>
  <si>
    <t>708515</t>
  </si>
  <si>
    <t>VRA AM VERDELHO BC 750ML</t>
  </si>
  <si>
    <t>LVD14824</t>
  </si>
  <si>
    <t>708518</t>
  </si>
  <si>
    <t>VRA AM MERLOT TT 750ML</t>
  </si>
  <si>
    <t>LML04622</t>
  </si>
  <si>
    <t>708519</t>
  </si>
  <si>
    <t>VRA AM CAIADO BC 375ML</t>
  </si>
  <si>
    <t>LAM19823</t>
  </si>
  <si>
    <t>7801439</t>
  </si>
  <si>
    <t>DELTA PLATINUM COFFEE GR Kg</t>
  </si>
  <si>
    <t>6286753</t>
  </si>
  <si>
    <t>6288032</t>
  </si>
  <si>
    <t>7801464</t>
  </si>
  <si>
    <t>DELTA PLATINUM COFFEE GR 500g</t>
  </si>
  <si>
    <t>6285031</t>
  </si>
  <si>
    <t>7801547</t>
  </si>
  <si>
    <t>DELTA GOLD COFFEE GR Kg</t>
  </si>
  <si>
    <t>6284342</t>
  </si>
  <si>
    <t>6284861</t>
  </si>
  <si>
    <t>6285310</t>
  </si>
  <si>
    <t>6286756</t>
  </si>
  <si>
    <t>6287657</t>
  </si>
  <si>
    <t>7801553</t>
  </si>
  <si>
    <t>DELTA GOLD COFFEE GR 500g</t>
  </si>
  <si>
    <t>6286717</t>
  </si>
  <si>
    <t>6283791</t>
  </si>
  <si>
    <t>6286608</t>
  </si>
  <si>
    <t>6290053</t>
  </si>
  <si>
    <t>6288329</t>
  </si>
  <si>
    <t>6286984</t>
  </si>
  <si>
    <t>6288421</t>
  </si>
  <si>
    <t>6286986</t>
  </si>
  <si>
    <t>6287665</t>
  </si>
  <si>
    <t>6285134</t>
  </si>
  <si>
    <t>6284142</t>
  </si>
  <si>
    <t>6292996</t>
  </si>
  <si>
    <t>7805155</t>
  </si>
  <si>
    <t>DELTA Q CARAMELO COFFEE 10CAP</t>
  </si>
  <si>
    <t>6285177</t>
  </si>
  <si>
    <t>7805175</t>
  </si>
  <si>
    <t>CAFÉ DELTA Q UNIQ TUBO 10CAP</t>
  </si>
  <si>
    <t>6290727</t>
  </si>
  <si>
    <t>6281289</t>
  </si>
  <si>
    <t>6290869</t>
  </si>
  <si>
    <t>6283789</t>
  </si>
  <si>
    <t>6287539</t>
  </si>
  <si>
    <t>7822780</t>
  </si>
  <si>
    <t>DELTA DECAF. COFFEE PAST. 16X7g</t>
  </si>
  <si>
    <t>6284963</t>
  </si>
  <si>
    <t>6292997</t>
  </si>
  <si>
    <t>6287860</t>
  </si>
  <si>
    <t>6288263</t>
  </si>
  <si>
    <t>6294211</t>
  </si>
  <si>
    <t>6286628</t>
  </si>
  <si>
    <t>6288241</t>
  </si>
  <si>
    <t>6290048</t>
  </si>
  <si>
    <t>6292875</t>
  </si>
  <si>
    <t>6282831</t>
  </si>
  <si>
    <t>6288242</t>
  </si>
  <si>
    <t>6288673</t>
  </si>
  <si>
    <t>7925621</t>
  </si>
  <si>
    <t>DELTA Q QHARACTER COFFEE PACK93+7CAP</t>
  </si>
  <si>
    <t>6283598</t>
  </si>
  <si>
    <t>7960010</t>
  </si>
  <si>
    <t>DELTA DRIP COFFEE 5X9g</t>
  </si>
  <si>
    <t>6288476</t>
  </si>
  <si>
    <t>080856</t>
  </si>
  <si>
    <t>012146</t>
  </si>
  <si>
    <t>CONJUNTO 12 COPOS VIDRO DELTA Q BUSINESS</t>
  </si>
  <si>
    <t>CJ</t>
  </si>
  <si>
    <t>012147</t>
  </si>
  <si>
    <t>CONJUNTO 12 PIRESN CORTIÇA DELTA Q BUS</t>
  </si>
  <si>
    <t>012190</t>
  </si>
  <si>
    <t>Q IN BOX CARTÃO</t>
  </si>
  <si>
    <t>012191</t>
  </si>
  <si>
    <t>QAIXA CORTIÇA</t>
  </si>
  <si>
    <t>012683</t>
  </si>
  <si>
    <t>DELTA Q BUSINESS CHAV CAPPUC</t>
  </si>
  <si>
    <t>012894</t>
  </si>
  <si>
    <t>DELTA Q SACOS GRANDES PAPEL 50X50X30</t>
  </si>
  <si>
    <t>012895</t>
  </si>
  <si>
    <t>DELTA Q SACOS MÉDIOS PAPEL 45X33X24</t>
  </si>
  <si>
    <t>012973</t>
  </si>
  <si>
    <t>Q DROP PRO</t>
  </si>
  <si>
    <t>017070</t>
  </si>
  <si>
    <t>CX MAQ QOOL EVO LISA</t>
  </si>
  <si>
    <t>017071</t>
  </si>
  <si>
    <t>CX MAQ MILK QOOL BR 220</t>
  </si>
  <si>
    <t>017072</t>
  </si>
  <si>
    <t>CX MAQ MILK QOOL BR 127</t>
  </si>
  <si>
    <t>017240</t>
  </si>
  <si>
    <t>QLEAR COLLECTION DELTA Q</t>
  </si>
  <si>
    <t>017260</t>
  </si>
  <si>
    <t>DELTA Q QEEPER</t>
  </si>
  <si>
    <t>017261</t>
  </si>
  <si>
    <t>DELTA Q BLOQ</t>
  </si>
  <si>
    <t>017342</t>
  </si>
  <si>
    <t>QORK N</t>
  </si>
  <si>
    <t>017562</t>
  </si>
  <si>
    <t>DELTA Q QLEAR QOASTER PRT</t>
  </si>
  <si>
    <t>023418</t>
  </si>
  <si>
    <t>DELTA Q PRO-QUPS COFFEE R</t>
  </si>
  <si>
    <t>023419</t>
  </si>
  <si>
    <t>DELTA Q PRO-QUPS ESPRESSO R</t>
  </si>
  <si>
    <t>025255</t>
  </si>
  <si>
    <t>MAQ QUICK VERMELHO DELTA Q 220v BR</t>
  </si>
  <si>
    <t>0</t>
  </si>
  <si>
    <t>025259</t>
  </si>
  <si>
    <t>MAQ QUICK ANTRACITE DELTA Q 220v BR</t>
  </si>
  <si>
    <t>1057080</t>
  </si>
  <si>
    <t>GALHETEIRO MADEIRA QAMPO</t>
  </si>
  <si>
    <t>1058585</t>
  </si>
  <si>
    <t>GLORIFICADOR PRETO MI</t>
  </si>
  <si>
    <t>1058586</t>
  </si>
  <si>
    <t>GLORIFICADOR CROMADO MI</t>
  </si>
  <si>
    <t>230119</t>
  </si>
  <si>
    <t>COPO PAPEL DELTA 8 OZ - EXPORTAÇÃO</t>
  </si>
  <si>
    <t>230120</t>
  </si>
  <si>
    <t>COPO PAPEL DELTA 12 OZ - EXPORTAÇÃO</t>
  </si>
  <si>
    <t>230340</t>
  </si>
  <si>
    <t>PALETINA MADEIRA DELTA Q</t>
  </si>
  <si>
    <t>234512</t>
  </si>
  <si>
    <t>COPO PAPEL DELTA 3oz</t>
  </si>
  <si>
    <t>245010</t>
  </si>
  <si>
    <t>GLORIFICADOR ORIGENS</t>
  </si>
  <si>
    <t>245026</t>
  </si>
  <si>
    <t>PORTA GUARDANAPOS DELTA Q IM</t>
  </si>
  <si>
    <t>245044</t>
  </si>
  <si>
    <t>FOLDER DELTA CAFÉS IM</t>
  </si>
  <si>
    <t>245128</t>
  </si>
  <si>
    <t>DELTA Q EXPOSITOR ESPECIAL QOOL EVO</t>
  </si>
  <si>
    <t>245129</t>
  </si>
  <si>
    <t>DELTA Q EXPOSITOR ESPECIAL QUICK</t>
  </si>
  <si>
    <t>245902</t>
  </si>
  <si>
    <t>DELTA CAFÉS COPO BEGE REUTILIZÁVEL</t>
  </si>
  <si>
    <t>245905</t>
  </si>
  <si>
    <t>DELTA CAFÉS ESTOJO PRETO</t>
  </si>
  <si>
    <t>245907</t>
  </si>
  <si>
    <t>DELTA CAFÉS CHAPÉU CHUVA PRETO</t>
  </si>
  <si>
    <t>246000</t>
  </si>
  <si>
    <t>246006</t>
  </si>
  <si>
    <t>COPO PAPEL DELTA XL 280 ML MG 50 UN</t>
  </si>
  <si>
    <t>246007</t>
  </si>
  <si>
    <t>COPO PAPEL BEB LONG MG5 DELTA Q 200 M</t>
  </si>
  <si>
    <t>246008</t>
  </si>
  <si>
    <t>CHAV SMALL QUPS 2UN</t>
  </si>
  <si>
    <t>246009</t>
  </si>
  <si>
    <t>PALETINA DELTA 110 MM</t>
  </si>
  <si>
    <t>246010</t>
  </si>
  <si>
    <t>282800</t>
  </si>
  <si>
    <t>CHÁVENA DELTA STANDARD EXPRESSO</t>
  </si>
  <si>
    <t>288003</t>
  </si>
  <si>
    <t>PORTA MENUS BELLISSIMO 2017</t>
  </si>
  <si>
    <t>310301</t>
  </si>
  <si>
    <t>GUARDA SOL DELTA</t>
  </si>
  <si>
    <t>311811</t>
  </si>
  <si>
    <t>SACO PAPEL GRANDE</t>
  </si>
  <si>
    <t>350501</t>
  </si>
  <si>
    <t>RELOGIO BELLISSIMO 2017</t>
  </si>
  <si>
    <t>350822</t>
  </si>
  <si>
    <t>QUADRO DELTA NOVA IMAGEM</t>
  </si>
  <si>
    <t>350925</t>
  </si>
  <si>
    <t>BANCADA DEGUSTAÇÃO</t>
  </si>
  <si>
    <t>350927</t>
  </si>
  <si>
    <t>EXPOSITOR DELTA CAFES</t>
  </si>
  <si>
    <t>351805</t>
  </si>
  <si>
    <t>TRIPÉ DELTA CAFÉS</t>
  </si>
  <si>
    <t>351807</t>
  </si>
  <si>
    <t>BANDEIRA DELTA CAFÉS</t>
  </si>
  <si>
    <t>351811</t>
  </si>
  <si>
    <t>CAIXA VAZIA DELTA Q</t>
  </si>
  <si>
    <t>351838</t>
  </si>
  <si>
    <t>CROWNERS HORECA 1</t>
  </si>
  <si>
    <t>352801</t>
  </si>
  <si>
    <t>QAOS 50</t>
  </si>
  <si>
    <t>353011</t>
  </si>
  <si>
    <t>RELÓGIO DE PAREDE TRIANGULO DELTA</t>
  </si>
  <si>
    <t>353012</t>
  </si>
  <si>
    <t>RELÓGIO DE PAREDE CHÁVENA DELTA</t>
  </si>
  <si>
    <t>353400</t>
  </si>
  <si>
    <t>BANDEJA DELTA 2017</t>
  </si>
  <si>
    <t>353402</t>
  </si>
  <si>
    <t>PORTA AÇUCAREIRO DELTA 2017</t>
  </si>
  <si>
    <t>353403</t>
  </si>
  <si>
    <t>PORTA MENU DELTA 2017</t>
  </si>
  <si>
    <t>361035</t>
  </si>
  <si>
    <t>MOCHILA PRETA</t>
  </si>
  <si>
    <t>364008</t>
  </si>
  <si>
    <t>PORTA AÇUCAREIRO MADEIRA - DELTA WOOD</t>
  </si>
  <si>
    <t>364009</t>
  </si>
  <si>
    <t>BANDEJA METAL C/ANTIDERRAPANTE-DELT WOOD</t>
  </si>
  <si>
    <t>701185</t>
  </si>
  <si>
    <t>VRA AM SELEÇÃO BC2019 750ML</t>
  </si>
  <si>
    <t>LSE14320</t>
  </si>
  <si>
    <t>LAM01921</t>
  </si>
  <si>
    <t>701492</t>
  </si>
  <si>
    <t>VRA AM VERDELHO BC2021 750ML</t>
  </si>
  <si>
    <t>LVD15722</t>
  </si>
  <si>
    <t>701621</t>
  </si>
  <si>
    <t>VRA AM CAIADO TT2022 375ML</t>
  </si>
  <si>
    <t>LAM02924</t>
  </si>
  <si>
    <t>LRE16523</t>
  </si>
  <si>
    <t>LRE03723</t>
  </si>
  <si>
    <t>LRE18623</t>
  </si>
  <si>
    <t>LRE18723</t>
  </si>
  <si>
    <t>701641</t>
  </si>
  <si>
    <t>VRA AM TOURIGA NACIONAL TT2021 750ML</t>
  </si>
  <si>
    <t>LTN03123</t>
  </si>
  <si>
    <t>LTN03323</t>
  </si>
  <si>
    <t>701646</t>
  </si>
  <si>
    <t>VRA AM RES. COMENDADOR BC2022 750ML</t>
  </si>
  <si>
    <t>LRC19523</t>
  </si>
  <si>
    <t>701647</t>
  </si>
  <si>
    <t>VRA AM RES. COMENDADOR TT2020 750ML</t>
  </si>
  <si>
    <t>LRC19223</t>
  </si>
  <si>
    <t>LRC20321</t>
  </si>
  <si>
    <t>701652</t>
  </si>
  <si>
    <t>VRA AM ALTITUDE BC2022 750ML</t>
  </si>
  <si>
    <t>LAT19423</t>
  </si>
  <si>
    <t>LAT19425</t>
  </si>
  <si>
    <t>701789</t>
  </si>
  <si>
    <t>VRA AM ALTITUDE TT2022 750ML</t>
  </si>
  <si>
    <t>LAT05024</t>
  </si>
  <si>
    <t>701836</t>
  </si>
  <si>
    <t>VRA AM AMÁLIAS 100 TT2020 1500ML</t>
  </si>
  <si>
    <t>LAM17422</t>
  </si>
  <si>
    <t>703134</t>
  </si>
  <si>
    <t>FRAPE ADEGA MAYOR</t>
  </si>
  <si>
    <t>703863</t>
  </si>
  <si>
    <t>CHAMPANHEIRA ADEGA MAYOR</t>
  </si>
  <si>
    <t>703865</t>
  </si>
  <si>
    <t>MANGA ADEGA MAYOR</t>
  </si>
  <si>
    <t>703892</t>
  </si>
  <si>
    <t>COPOS ADEGA MAYOR BC 320ML</t>
  </si>
  <si>
    <t>703893</t>
  </si>
  <si>
    <t>COPOS ADEGA MAYOR TT 500ML</t>
  </si>
  <si>
    <t>703962</t>
  </si>
  <si>
    <t>CX CARTÃO AM 2 UN</t>
  </si>
  <si>
    <t>703963</t>
  </si>
  <si>
    <t>CX CARTÃO AM 3 UN</t>
  </si>
  <si>
    <t>704034</t>
  </si>
  <si>
    <t>AM PORTA CONTA</t>
  </si>
  <si>
    <t>08332</t>
  </si>
  <si>
    <t>R251122</t>
  </si>
  <si>
    <t>704177</t>
  </si>
  <si>
    <t>AM BI PACK GENÉRICO</t>
  </si>
  <si>
    <t>705042</t>
  </si>
  <si>
    <t>DISPLAY PLACA 30/30</t>
  </si>
  <si>
    <t>LAM16324</t>
  </si>
  <si>
    <t>LAM17024</t>
  </si>
  <si>
    <t>LAM20424</t>
  </si>
  <si>
    <t>LAM04325</t>
  </si>
  <si>
    <t>LAM06723</t>
  </si>
  <si>
    <t>LAM06823</t>
  </si>
  <si>
    <t>LAM07523</t>
  </si>
  <si>
    <t>LAM09423</t>
  </si>
  <si>
    <t>LAM11724</t>
  </si>
  <si>
    <t>LAM09424</t>
  </si>
  <si>
    <t>LAM10224</t>
  </si>
  <si>
    <t>LAM28923</t>
  </si>
  <si>
    <t>LVD13523</t>
  </si>
  <si>
    <t>LVD14625</t>
  </si>
  <si>
    <t>LAM20023</t>
  </si>
  <si>
    <t>6283261</t>
  </si>
  <si>
    <t>6289743</t>
  </si>
  <si>
    <t>6290998</t>
  </si>
  <si>
    <t>6293077</t>
  </si>
  <si>
    <t>6293980</t>
  </si>
  <si>
    <t>6275658</t>
  </si>
  <si>
    <t>6290895</t>
  </si>
  <si>
    <t>6288034</t>
  </si>
  <si>
    <t>6288179</t>
  </si>
  <si>
    <t>6289930</t>
  </si>
  <si>
    <t>6290999</t>
  </si>
  <si>
    <t>6293352</t>
  </si>
  <si>
    <t>6293982</t>
  </si>
  <si>
    <t>6283652</t>
  </si>
  <si>
    <t>6289968</t>
  </si>
  <si>
    <t>6290560</t>
  </si>
  <si>
    <t>6293711</t>
  </si>
  <si>
    <t>6283563</t>
  </si>
  <si>
    <t>6290896</t>
  </si>
  <si>
    <t>62878996</t>
  </si>
  <si>
    <t>6288523</t>
  </si>
  <si>
    <t>6294806</t>
  </si>
  <si>
    <t>7802606</t>
  </si>
  <si>
    <t>CAFÉ DELTA RITUAL COFFEE GR PC500g</t>
  </si>
  <si>
    <t>6294944</t>
  </si>
  <si>
    <t>52987</t>
  </si>
  <si>
    <t>6290141</t>
  </si>
  <si>
    <t>6292991</t>
  </si>
  <si>
    <t>6280216</t>
  </si>
  <si>
    <t>6285406</t>
  </si>
  <si>
    <t>6286919</t>
  </si>
  <si>
    <t>6286654</t>
  </si>
  <si>
    <t>6287063</t>
  </si>
  <si>
    <t>6292460</t>
  </si>
  <si>
    <t>6294218</t>
  </si>
  <si>
    <t>6281500</t>
  </si>
  <si>
    <t>6286992</t>
  </si>
  <si>
    <t>6288536</t>
  </si>
  <si>
    <t>6290947</t>
  </si>
  <si>
    <t>6293144</t>
  </si>
  <si>
    <t>6294299</t>
  </si>
  <si>
    <t>6279475</t>
  </si>
  <si>
    <t>6280261</t>
  </si>
  <si>
    <t>6287991</t>
  </si>
  <si>
    <t>6290054</t>
  </si>
  <si>
    <t>6290726</t>
  </si>
  <si>
    <t>6293277</t>
  </si>
  <si>
    <t>6294410</t>
  </si>
  <si>
    <t>628841</t>
  </si>
  <si>
    <t>6292848</t>
  </si>
  <si>
    <t>6294907</t>
  </si>
  <si>
    <t>6279486</t>
  </si>
  <si>
    <t>6280091</t>
  </si>
  <si>
    <t>6288422</t>
  </si>
  <si>
    <t>6290948</t>
  </si>
  <si>
    <t>6294292</t>
  </si>
  <si>
    <t>6280215</t>
  </si>
  <si>
    <t>6288676</t>
  </si>
  <si>
    <t>6293276</t>
  </si>
  <si>
    <t>6294910</t>
  </si>
  <si>
    <t>6286637</t>
  </si>
  <si>
    <t>6291118</t>
  </si>
  <si>
    <t>6292836</t>
  </si>
  <si>
    <t>6294424</t>
  </si>
  <si>
    <t>6283973</t>
  </si>
  <si>
    <t>6284112</t>
  </si>
  <si>
    <t>6285523</t>
  </si>
  <si>
    <t>6286973</t>
  </si>
  <si>
    <t>6288248</t>
  </si>
  <si>
    <t>6294383</t>
  </si>
  <si>
    <t>6286611</t>
  </si>
  <si>
    <t>6288151</t>
  </si>
  <si>
    <t>6288328</t>
  </si>
  <si>
    <t>6288537</t>
  </si>
  <si>
    <t>6294841</t>
  </si>
  <si>
    <t>6288820</t>
  </si>
  <si>
    <t>6289700</t>
  </si>
  <si>
    <t>6290562</t>
  </si>
  <si>
    <t>6288818</t>
  </si>
  <si>
    <t>6289702</t>
  </si>
  <si>
    <t>6294808</t>
  </si>
  <si>
    <t>6293064</t>
  </si>
  <si>
    <t>6293840</t>
  </si>
  <si>
    <t>6285179</t>
  </si>
  <si>
    <t>6293936</t>
  </si>
  <si>
    <t>6281658</t>
  </si>
  <si>
    <t>6292998</t>
  </si>
  <si>
    <t>6293937</t>
  </si>
  <si>
    <t>6279184</t>
  </si>
  <si>
    <t>6291116</t>
  </si>
  <si>
    <t>6293400</t>
  </si>
  <si>
    <t>6294872</t>
  </si>
  <si>
    <t>6284123</t>
  </si>
  <si>
    <t>6294460</t>
  </si>
  <si>
    <t>6281468</t>
  </si>
  <si>
    <t>6282140</t>
  </si>
  <si>
    <t>6285140</t>
  </si>
  <si>
    <t>6290049</t>
  </si>
  <si>
    <t>6291134</t>
  </si>
  <si>
    <t>6294456</t>
  </si>
  <si>
    <t>6294395</t>
  </si>
  <si>
    <t>6288698</t>
  </si>
  <si>
    <t>6294443</t>
  </si>
  <si>
    <t>6280570</t>
  </si>
  <si>
    <t>6281012</t>
  </si>
  <si>
    <t>6282272</t>
  </si>
  <si>
    <t>6289942</t>
  </si>
  <si>
    <t>6293726</t>
  </si>
  <si>
    <t>851084</t>
  </si>
  <si>
    <t>TREMOÇO EXTRA FRASCO 235g-BRASIL</t>
  </si>
  <si>
    <t>083620</t>
  </si>
  <si>
    <t>9000000002</t>
  </si>
  <si>
    <t>CAIXA 15</t>
  </si>
  <si>
    <t>9000000003</t>
  </si>
  <si>
    <t>CAIXA 32</t>
  </si>
  <si>
    <t>90000002</t>
  </si>
  <si>
    <t>90000005</t>
  </si>
  <si>
    <t>CAIXA 6</t>
  </si>
  <si>
    <t>QUIPK-0018</t>
  </si>
  <si>
    <t>CAIXA MQ VR (BR 220V)</t>
  </si>
  <si>
    <t>QUIPK-0019</t>
  </si>
  <si>
    <t>CAIXA MQ VR (CZ 220V)</t>
  </si>
  <si>
    <t>QUIPK-0020</t>
  </si>
  <si>
    <t>CAIXA MQ VR (BR 127V)</t>
  </si>
  <si>
    <t>QUIPK-0021</t>
  </si>
  <si>
    <t>CAIXA MQ CZ (BR 127V)</t>
  </si>
  <si>
    <t>6274393</t>
  </si>
  <si>
    <t>6281406</t>
  </si>
  <si>
    <t>6287669</t>
  </si>
  <si>
    <t>6278830</t>
  </si>
  <si>
    <t>6279467</t>
  </si>
  <si>
    <t>6279134</t>
  </si>
  <si>
    <t>701473</t>
  </si>
  <si>
    <t>VRA AM CAIADO TT2021 750ML</t>
  </si>
  <si>
    <t>6278580</t>
  </si>
  <si>
    <t>6283729</t>
  </si>
  <si>
    <t>6278616</t>
  </si>
  <si>
    <t>6282336</t>
  </si>
  <si>
    <t>6280132</t>
  </si>
  <si>
    <t>6288708</t>
  </si>
  <si>
    <t>288000</t>
  </si>
  <si>
    <t>BANDEJA BELLISSIMO</t>
  </si>
  <si>
    <t>350961</t>
  </si>
  <si>
    <t>BANCADA DELTA Q</t>
  </si>
  <si>
    <t>Lote</t>
  </si>
  <si>
    <t>078525</t>
  </si>
  <si>
    <t>6285408</t>
  </si>
  <si>
    <t>6279306</t>
  </si>
  <si>
    <t>6279854</t>
  </si>
  <si>
    <t>6282288</t>
  </si>
  <si>
    <t>6284226</t>
  </si>
  <si>
    <t>6281608</t>
  </si>
  <si>
    <t>6282930</t>
  </si>
  <si>
    <t>6276784</t>
  </si>
  <si>
    <t>628262</t>
  </si>
  <si>
    <t>6284268</t>
  </si>
  <si>
    <t>6288253</t>
  </si>
  <si>
    <t>6288521</t>
  </si>
  <si>
    <t>62811033</t>
  </si>
  <si>
    <t>6283033</t>
  </si>
  <si>
    <t>6274554</t>
  </si>
  <si>
    <t>6275429</t>
  </si>
  <si>
    <t>6288021</t>
  </si>
  <si>
    <t>6275416</t>
  </si>
  <si>
    <t>6281694</t>
  </si>
  <si>
    <t>6292846</t>
  </si>
  <si>
    <t>6288420</t>
  </si>
  <si>
    <t>6282488</t>
  </si>
  <si>
    <t>6274232</t>
  </si>
  <si>
    <t>6288817</t>
  </si>
  <si>
    <t>6290047</t>
  </si>
  <si>
    <t>6281142</t>
  </si>
  <si>
    <t>6291115</t>
  </si>
  <si>
    <t>6288255</t>
  </si>
  <si>
    <t>6286613</t>
  </si>
  <si>
    <t>08322</t>
  </si>
  <si>
    <t>AM14924</t>
  </si>
  <si>
    <t>LAMO7124</t>
  </si>
  <si>
    <t>AM11524</t>
  </si>
  <si>
    <t>L-AM11524</t>
  </si>
  <si>
    <t>LRE1723</t>
  </si>
  <si>
    <t>LTN03023</t>
  </si>
  <si>
    <t>TN03023</t>
  </si>
  <si>
    <t>TN03123</t>
  </si>
  <si>
    <t>TN03323</t>
  </si>
  <si>
    <t>VD14725</t>
  </si>
  <si>
    <t>AT19423</t>
  </si>
  <si>
    <t>LAT19124</t>
  </si>
  <si>
    <t>15740423</t>
  </si>
  <si>
    <t>202310</t>
  </si>
  <si>
    <t>202503</t>
  </si>
  <si>
    <t>202504</t>
  </si>
  <si>
    <t>Inventário de Existências Valorizado</t>
  </si>
  <si>
    <t>Departamento Comercial</t>
  </si>
  <si>
    <t xml:space="preserve">Depósito </t>
  </si>
  <si>
    <t>Descrição do Produto</t>
  </si>
  <si>
    <t>Armazém</t>
  </si>
  <si>
    <t>G. Remessa</t>
  </si>
  <si>
    <t>Stock</t>
  </si>
  <si>
    <t xml:space="preserve">Inventário </t>
  </si>
  <si>
    <t>Existência</t>
  </si>
  <si>
    <t>Diferenças</t>
  </si>
  <si>
    <t>Unitário</t>
  </si>
  <si>
    <t>Fisico</t>
  </si>
  <si>
    <t>Contabilistico</t>
  </si>
  <si>
    <t>Valorizadas</t>
  </si>
  <si>
    <t>(+)</t>
  </si>
  <si>
    <t>(-)</t>
  </si>
  <si>
    <t>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</si>
</sst>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m/d/yyyy"/>
  </numFmts>
  <fonts count="24" x14ac:knownFonts="1">
    <font>
      <sz val="10"/>
      <name val="Arial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b/>
      <i/>
      <sz val="28"/>
      <name val="Times New Roman"/>
      <family val="1"/>
      <charset val="1"/>
    </font>
    <font>
      <b/>
      <sz val="19"/>
      <name val="Times New Roman"/>
      <family val="1"/>
      <charset val="1"/>
    </font>
    <font>
      <b/>
      <sz val="20"/>
      <name val="Times New Roman"/>
      <family val="1"/>
      <charset val="1"/>
    </font>
    <font>
      <b/>
      <sz val="16"/>
      <name val="Times New Roman"/>
      <family val="1"/>
      <charset val="1"/>
    </font>
    <font>
      <b/>
      <sz val="24"/>
      <name val="Times New Roman"/>
      <family val="1"/>
      <charset val="1"/>
    </font>
    <font>
      <b/>
      <sz val="22"/>
      <name val="Times New Roman"/>
      <family val="1"/>
      <charset val="1"/>
    </font>
    <font>
      <sz val="24"/>
      <name val="Times New Roman"/>
      <family val="1"/>
      <charset val="1"/>
    </font>
    <font>
      <b/>
      <sz val="11"/>
      <name val="Times New Roman"/>
      <family val="1"/>
      <charset val="1"/>
    </font>
    <font>
      <b/>
      <sz val="18"/>
      <name val="Times New Roman"/>
      <family val="1"/>
      <charset val="1"/>
    </font>
    <font>
      <sz val="12"/>
      <color rgb="FFFFFFFF"/>
      <name val="Times New Roman"/>
      <family val="1"/>
      <charset val="1"/>
    </font>
    <font>
      <b/>
      <sz val="12"/>
      <color rgb="FFFFFFFF"/>
      <name val="Times New Roman"/>
      <family val="1"/>
      <charset val="1"/>
    </font>
    <font>
      <b/>
      <sz val="11"/>
      <color rgb="FFFFFFFF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0"/>
      <color rgb="FFFFFFFF"/>
      <name val="Times New Roman"/>
      <family val="1"/>
      <charset val="1"/>
    </font>
    <font>
      <b/>
      <sz val="13"/>
      <color rgb="FFFFFFFF"/>
      <name val="Times New Roman"/>
      <family val="1"/>
      <charset val="1"/>
    </font>
    <font>
      <b/>
      <sz val="14"/>
      <color rgb="FFFFFFFF"/>
      <name val="Times New Roman"/>
      <family val="1"/>
      <charset val="1"/>
    </font>
    <font>
      <sz val="9"/>
      <color rgb="FFFFFFFF"/>
      <name val="Times New Roman"/>
      <family val="1"/>
      <charset val="1"/>
    </font>
    <font>
      <b/>
      <sz val="9"/>
      <color rgb="FFFFFFFF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name val="MS Sans Serif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CFCFC"/>
        <bgColor rgb="FFFFFFFF"/>
      </patternFill>
    </fill>
    <fill>
      <patternFill patternType="solid">
        <fgColor rgb="FF0E263D"/>
        <bgColor rgb="FF0E2841"/>
      </patternFill>
    </fill>
    <fill>
      <patternFill patternType="solid">
        <fgColor theme="3"/>
        <bgColor rgb="FF0E263D"/>
      </patternFill>
    </fill>
    <fill>
      <patternFill patternType="solid">
        <fgColor rgb="FFFFFFFF"/>
        <bgColor rgb="FFFCFCFC"/>
      </patternFill>
    </fill>
    <fill>
      <patternFill patternType="solid">
        <fgColor rgb="FFC6EFCE"/>
        <bgColor rgb="FFE2EFDA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rgb="FFFFFFFF"/>
      </right>
      <top style="medium">
        <color auto="1"/>
      </top>
      <bottom style="medium">
        <color auto="1"/>
      </bottom>
      <diagonal/>
    </border>
    <border>
      <left style="thick">
        <color rgb="FFFFFFFF"/>
      </left>
      <right style="thick">
        <color rgb="FFFFFFFF"/>
      </right>
      <top style="medium">
        <color auto="1"/>
      </top>
      <bottom style="medium">
        <color auto="1"/>
      </bottom>
      <diagonal/>
    </border>
    <border>
      <left style="thick">
        <color rgb="FFFFFFFF"/>
      </left>
      <right style="thick">
        <color rgb="FFFFFFFF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rgb="FFFFFFFF"/>
      </left>
      <right style="thick">
        <color rgb="FFFFFFFF"/>
      </right>
      <top style="medium">
        <color auto="1"/>
      </top>
      <bottom style="medium">
        <color rgb="FFFFFFFF"/>
      </bottom>
      <diagonal/>
    </border>
    <border>
      <left style="thick">
        <color rgb="FFFFFFFF"/>
      </left>
      <right style="medium">
        <color auto="1"/>
      </right>
      <top style="medium">
        <color auto="1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auto="1"/>
      </bottom>
      <diagonal/>
    </border>
    <border>
      <left style="thick">
        <color rgb="FFFFFFFF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49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3" fontId="11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right" vertical="top"/>
    </xf>
    <xf numFmtId="49" fontId="13" fillId="2" borderId="2" xfId="0" applyNumberFormat="1" applyFont="1" applyFill="1" applyBorder="1" applyAlignment="1">
      <alignment horizontal="left" vertical="center"/>
    </xf>
    <xf numFmtId="49" fontId="13" fillId="2" borderId="2" xfId="0" applyNumberFormat="1" applyFont="1" applyFill="1" applyBorder="1" applyAlignment="1">
      <alignment horizontal="right" vertical="center"/>
    </xf>
    <xf numFmtId="49" fontId="14" fillId="2" borderId="3" xfId="0" applyNumberFormat="1" applyFont="1" applyFill="1" applyBorder="1" applyAlignment="1">
      <alignment horizontal="right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right" vertical="center"/>
    </xf>
    <xf numFmtId="0" fontId="15" fillId="2" borderId="3" xfId="0" applyFont="1" applyFill="1" applyBorder="1" applyAlignment="1">
      <alignment horizontal="right" vertical="center"/>
    </xf>
    <xf numFmtId="0" fontId="17" fillId="0" borderId="0" xfId="0" applyFont="1"/>
    <xf numFmtId="0" fontId="15" fillId="3" borderId="7" xfId="0" applyFont="1" applyFill="1" applyBorder="1" applyAlignment="1">
      <alignment horizontal="center" vertical="center"/>
    </xf>
    <xf numFmtId="3" fontId="14" fillId="3" borderId="7" xfId="0" applyNumberFormat="1" applyFont="1" applyFill="1" applyBorder="1" applyAlignment="1">
      <alignment horizontal="center" vertical="center"/>
    </xf>
    <xf numFmtId="164" fontId="14" fillId="3" borderId="8" xfId="0" applyNumberFormat="1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3" fontId="14" fillId="3" borderId="11" xfId="0" applyNumberFormat="1" applyFont="1" applyFill="1" applyBorder="1" applyAlignment="1">
      <alignment horizontal="center" vertical="center"/>
    </xf>
    <xf numFmtId="164" fontId="21" fillId="3" borderId="12" xfId="0" applyNumberFormat="1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49" fontId="22" fillId="5" borderId="0" xfId="0" applyNumberFormat="1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49" fontId="2" fillId="5" borderId="0" xfId="0" applyNumberFormat="1" applyFont="1" applyFill="1" applyAlignment="1">
      <alignment horizontal="right" vertical="center"/>
    </xf>
    <xf numFmtId="0" fontId="22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3" fontId="11" fillId="5" borderId="0" xfId="0" applyNumberFormat="1" applyFont="1" applyFill="1" applyAlignment="1">
      <alignment horizontal="center" vertical="center"/>
    </xf>
    <xf numFmtId="164" fontId="22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right" vertical="center"/>
    </xf>
    <xf numFmtId="0" fontId="2" fillId="5" borderId="0" xfId="0" applyFont="1" applyFill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right"/>
    </xf>
    <xf numFmtId="3" fontId="23" fillId="0" borderId="1" xfId="0" applyNumberFormat="1" applyFont="1" applyBorder="1" applyAlignment="1">
      <alignment horizontal="center"/>
    </xf>
    <xf numFmtId="3" fontId="23" fillId="0" borderId="1" xfId="0" applyNumberFormat="1" applyFont="1" applyBorder="1" applyAlignment="1">
      <alignment horizontal="right"/>
    </xf>
    <xf numFmtId="4" fontId="23" fillId="0" borderId="1" xfId="0" applyNumberFormat="1" applyFont="1" applyBorder="1" applyAlignment="1">
      <alignment horizontal="right"/>
    </xf>
    <xf numFmtId="0" fontId="3" fillId="0" borderId="0" xfId="0" applyFont="1" applyAlignment="1">
      <alignment vertical="center"/>
    </xf>
    <xf numFmtId="0" fontId="1" fillId="6" borderId="1" xfId="0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164" fontId="23" fillId="6" borderId="1" xfId="0" applyNumberFormat="1" applyFont="1" applyFill="1" applyBorder="1" applyAlignment="1">
      <alignment horizontal="center"/>
    </xf>
    <xf numFmtId="164" fontId="23" fillId="6" borderId="1" xfId="0" applyNumberFormat="1" applyFont="1" applyFill="1" applyBorder="1" applyAlignment="1">
      <alignment horizontal="right"/>
    </xf>
    <xf numFmtId="3" fontId="23" fillId="6" borderId="1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16" fillId="2" borderId="4" xfId="0" applyNumberFormat="1" applyFont="1" applyFill="1" applyBorder="1" applyAlignment="1">
      <alignment horizontal="right" vertical="center"/>
    </xf>
    <xf numFmtId="0" fontId="20" fillId="4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49" fontId="18" fillId="3" borderId="5" xfId="0" applyNumberFormat="1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49" fontId="13" fillId="3" borderId="6" xfId="0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48">
    <dxf>
      <font>
        <color rgb="FF800000"/>
      </font>
    </dxf>
    <dxf>
      <font>
        <color rgb="FF000080"/>
      </font>
    </dxf>
    <dxf>
      <font>
        <color rgb="FFFFFFFF"/>
      </font>
    </dxf>
    <dxf>
      <font>
        <color rgb="FF800000"/>
      </font>
    </dxf>
    <dxf>
      <font>
        <color rgb="FF000080"/>
      </font>
    </dxf>
    <dxf>
      <font>
        <b/>
      </font>
    </dxf>
    <dxf>
      <font>
        <b/>
        <color rgb="FF008000"/>
      </font>
    </dxf>
    <dxf>
      <font>
        <b/>
        <color rgb="FF800000"/>
      </font>
    </dxf>
    <dxf>
      <font>
        <color rgb="FF000080"/>
      </font>
    </dxf>
    <dxf>
      <font>
        <b/>
      </font>
    </dxf>
    <dxf>
      <font>
        <b/>
      </font>
    </dxf>
    <dxf>
      <font>
        <color rgb="FF800000"/>
      </font>
    </dxf>
    <dxf>
      <font>
        <color rgb="FF000080"/>
      </font>
    </dxf>
    <dxf>
      <font>
        <color rgb="FFFFFFFF"/>
      </font>
    </dxf>
    <dxf>
      <font>
        <b/>
      </font>
    </dxf>
    <dxf>
      <font>
        <b/>
        <color rgb="FF008000"/>
      </font>
    </dxf>
    <dxf>
      <font>
        <b/>
        <color rgb="FF800000"/>
      </font>
    </dxf>
    <dxf>
      <font>
        <color rgb="FF000080"/>
      </font>
    </dxf>
    <dxf>
      <font>
        <b/>
      </font>
    </dxf>
    <dxf>
      <font>
        <b/>
      </font>
    </dxf>
    <dxf>
      <font>
        <color rgb="FF800000"/>
      </font>
    </dxf>
    <dxf>
      <font>
        <color rgb="FF000080"/>
      </font>
    </dxf>
    <dxf>
      <font>
        <color rgb="FFFFFFFF"/>
      </font>
    </dxf>
    <dxf>
      <font>
        <b/>
      </font>
    </dxf>
    <dxf>
      <font>
        <b/>
        <color rgb="FF008000"/>
      </font>
    </dxf>
    <dxf>
      <font>
        <b/>
        <color rgb="FF800000"/>
      </font>
    </dxf>
    <dxf>
      <font>
        <color rgb="FF000080"/>
      </font>
    </dxf>
    <dxf>
      <font>
        <b/>
      </font>
    </dxf>
    <dxf>
      <font>
        <b/>
      </font>
    </dxf>
    <dxf>
      <font>
        <color rgb="FF800000"/>
      </font>
    </dxf>
    <dxf>
      <font>
        <color rgb="FF000080"/>
      </font>
    </dxf>
    <dxf>
      <font>
        <color rgb="FFFFFFFF"/>
      </font>
    </dxf>
    <dxf>
      <font>
        <b/>
      </font>
    </dxf>
    <dxf>
      <font>
        <b/>
        <color rgb="FF008000"/>
      </font>
    </dxf>
    <dxf>
      <font>
        <b/>
        <color rgb="FF800000"/>
      </font>
    </dxf>
    <dxf>
      <font>
        <color rgb="FF000080"/>
      </font>
    </dxf>
    <dxf>
      <font>
        <b/>
      </font>
    </dxf>
    <dxf>
      <font>
        <b/>
      </font>
    </dxf>
    <dxf>
      <font>
        <color rgb="FF800000"/>
      </font>
    </dxf>
    <dxf>
      <font>
        <color rgb="FF000080"/>
      </font>
    </dxf>
    <dxf>
      <font>
        <color rgb="FFFFFFFF"/>
      </font>
    </dxf>
    <dxf>
      <font>
        <color rgb="FF800000"/>
      </font>
    </dxf>
    <dxf>
      <font>
        <color rgb="FF000080"/>
      </font>
    </dxf>
    <dxf>
      <font>
        <b/>
      </font>
    </dxf>
    <dxf>
      <font>
        <b/>
        <color rgb="FF008000"/>
      </font>
    </dxf>
    <dxf>
      <font>
        <b/>
        <color rgb="FF800000"/>
      </font>
    </dxf>
    <dxf>
      <font>
        <color rgb="FF000080"/>
      </font>
    </dxf>
    <dxf>
      <font>
        <b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8CCE4"/>
      <rgbColor rgb="FF000080"/>
      <rgbColor rgb="FFFF00FF"/>
      <rgbColor rgb="FFFCFCFC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DC3E6"/>
      <rgbColor rgb="FFEEEEEE"/>
      <rgbColor rgb="FFF2F2F2"/>
      <rgbColor rgb="FFFFCCCC"/>
      <rgbColor rgb="FF2E75B6"/>
      <rgbColor rgb="FF33CCCC"/>
      <rgbColor rgb="FF92D050"/>
      <rgbColor rgb="FFFFD7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7D4E00"/>
      <rgbColor rgb="FF993366"/>
      <rgbColor rgb="FF1F4E79"/>
      <rgbColor rgb="FF0E26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28440</xdr:rowOff>
    </xdr:from>
    <xdr:to>
      <xdr:col>1</xdr:col>
      <xdr:colOff>3314520</xdr:colOff>
      <xdr:row>2</xdr:row>
      <xdr:rowOff>393840</xdr:rowOff>
    </xdr:to>
    <xdr:pic>
      <xdr:nvPicPr>
        <xdr:cNvPr id="2" name="Picture 28" descr="actualiz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28440"/>
          <a:ext cx="3950640" cy="1184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28440</xdr:rowOff>
    </xdr:from>
    <xdr:to>
      <xdr:col>1</xdr:col>
      <xdr:colOff>3314520</xdr:colOff>
      <xdr:row>2</xdr:row>
      <xdr:rowOff>393840</xdr:rowOff>
    </xdr:to>
    <xdr:pic>
      <xdr:nvPicPr>
        <xdr:cNvPr id="2" name="Picture 28" descr="actualiz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28440"/>
          <a:ext cx="3950640" cy="1184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28440</xdr:rowOff>
    </xdr:from>
    <xdr:to>
      <xdr:col>1</xdr:col>
      <xdr:colOff>3314520</xdr:colOff>
      <xdr:row>2</xdr:row>
      <xdr:rowOff>393840</xdr:rowOff>
    </xdr:to>
    <xdr:pic>
      <xdr:nvPicPr>
        <xdr:cNvPr id="2" name="Picture 28" descr="actualiz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28440"/>
          <a:ext cx="3950640" cy="1184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28440</xdr:rowOff>
    </xdr:from>
    <xdr:to>
      <xdr:col>1</xdr:col>
      <xdr:colOff>3314520</xdr:colOff>
      <xdr:row>2</xdr:row>
      <xdr:rowOff>393840</xdr:rowOff>
    </xdr:to>
    <xdr:pic>
      <xdr:nvPicPr>
        <xdr:cNvPr id="3" name="Picture 28" descr="actualiz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28440"/>
          <a:ext cx="3950640" cy="1184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28440</xdr:rowOff>
    </xdr:from>
    <xdr:to>
      <xdr:col>1</xdr:col>
      <xdr:colOff>3314520</xdr:colOff>
      <xdr:row>2</xdr:row>
      <xdr:rowOff>393840</xdr:rowOff>
    </xdr:to>
    <xdr:pic>
      <xdr:nvPicPr>
        <xdr:cNvPr id="4" name="Picture 28" descr="actualiz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28440"/>
          <a:ext cx="3950640" cy="1184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VR135"/>
  <sheetViews>
    <sheetView zoomScaleNormal="100" workbookViewId="0">
      <selection activeCell="M113" sqref="M113"/>
    </sheetView>
  </sheetViews>
  <sheetFormatPr defaultColWidth="11.42578125" defaultRowHeight="15" x14ac:dyDescent="0.25"/>
  <cols>
    <col min="1" max="1" width="9.5703125" style="1" customWidth="1"/>
    <col min="2" max="2" width="50.7109375" style="2" customWidth="1"/>
    <col min="3" max="3" width="12.28515625" style="3" customWidth="1"/>
    <col min="4" max="4" width="8" style="4" customWidth="1"/>
    <col min="5" max="5" width="6.7109375" style="5" customWidth="1"/>
    <col min="6" max="6" width="12.7109375" style="4" customWidth="1"/>
    <col min="7" max="7" width="12.7109375" style="5" customWidth="1"/>
    <col min="8" max="8" width="20.7109375" style="6" customWidth="1"/>
    <col min="9" max="9" width="12.7109375" style="7" customWidth="1"/>
    <col min="10" max="10" width="12.7109375" style="5" hidden="1" customWidth="1"/>
    <col min="11" max="12" width="12.7109375" style="8" customWidth="1"/>
    <col min="13" max="13" width="12.7109375" style="5" customWidth="1"/>
    <col min="14" max="256" width="11.42578125" style="9"/>
    <col min="257" max="257" width="9.5703125" style="9" customWidth="1"/>
    <col min="258" max="258" width="50.7109375" style="9" customWidth="1"/>
    <col min="259" max="259" width="12.28515625" style="9" customWidth="1"/>
    <col min="260" max="260" width="8" style="9" customWidth="1"/>
    <col min="261" max="261" width="6.7109375" style="9" customWidth="1"/>
    <col min="262" max="263" width="12.7109375" style="9" customWidth="1"/>
    <col min="264" max="264" width="20.7109375" style="9" customWidth="1"/>
    <col min="265" max="265" width="12.7109375" style="9" customWidth="1"/>
    <col min="266" max="266" width="11.5703125" style="9" hidden="1" customWidth="1"/>
    <col min="267" max="269" width="12.7109375" style="9" customWidth="1"/>
    <col min="270" max="512" width="11.42578125" style="9"/>
    <col min="513" max="513" width="9.5703125" style="9" customWidth="1"/>
    <col min="514" max="514" width="50.7109375" style="9" customWidth="1"/>
    <col min="515" max="515" width="12.28515625" style="9" customWidth="1"/>
    <col min="516" max="516" width="8" style="9" customWidth="1"/>
    <col min="517" max="517" width="6.7109375" style="9" customWidth="1"/>
    <col min="518" max="519" width="12.7109375" style="9" customWidth="1"/>
    <col min="520" max="520" width="20.7109375" style="9" customWidth="1"/>
    <col min="521" max="521" width="12.7109375" style="9" customWidth="1"/>
    <col min="522" max="522" width="11.5703125" style="9" hidden="1" customWidth="1"/>
    <col min="523" max="525" width="12.7109375" style="9" customWidth="1"/>
    <col min="526" max="768" width="11.42578125" style="9"/>
    <col min="769" max="769" width="9.5703125" style="9" customWidth="1"/>
    <col min="770" max="770" width="50.7109375" style="9" customWidth="1"/>
    <col min="771" max="771" width="12.28515625" style="9" customWidth="1"/>
    <col min="772" max="772" width="8" style="9" customWidth="1"/>
    <col min="773" max="773" width="6.7109375" style="9" customWidth="1"/>
    <col min="774" max="775" width="12.7109375" style="9" customWidth="1"/>
    <col min="776" max="776" width="20.7109375" style="9" customWidth="1"/>
    <col min="777" max="777" width="12.7109375" style="9" customWidth="1"/>
    <col min="778" max="778" width="11.5703125" style="9" hidden="1" customWidth="1"/>
    <col min="779" max="781" width="12.7109375" style="9" customWidth="1"/>
    <col min="782" max="1024" width="11.42578125" style="9"/>
    <col min="1025" max="1025" width="9.5703125" style="9" customWidth="1"/>
    <col min="1026" max="1026" width="50.7109375" style="9" customWidth="1"/>
    <col min="1027" max="1027" width="12.28515625" style="9" customWidth="1"/>
    <col min="1028" max="1028" width="8" style="9" customWidth="1"/>
    <col min="1029" max="1029" width="6.7109375" style="9" customWidth="1"/>
    <col min="1030" max="1031" width="12.7109375" style="9" customWidth="1"/>
    <col min="1032" max="1032" width="20.7109375" style="9" customWidth="1"/>
    <col min="1033" max="1033" width="12.7109375" style="9" customWidth="1"/>
    <col min="1034" max="1034" width="11.5703125" style="9" hidden="1" customWidth="1"/>
    <col min="1035" max="1037" width="12.7109375" style="9" customWidth="1"/>
    <col min="1038" max="1280" width="11.42578125" style="9"/>
    <col min="1281" max="1281" width="9.5703125" style="9" customWidth="1"/>
    <col min="1282" max="1282" width="50.7109375" style="9" customWidth="1"/>
    <col min="1283" max="1283" width="12.28515625" style="9" customWidth="1"/>
    <col min="1284" max="1284" width="8" style="9" customWidth="1"/>
    <col min="1285" max="1285" width="6.7109375" style="9" customWidth="1"/>
    <col min="1286" max="1287" width="12.7109375" style="9" customWidth="1"/>
    <col min="1288" max="1288" width="20.7109375" style="9" customWidth="1"/>
    <col min="1289" max="1289" width="12.7109375" style="9" customWidth="1"/>
    <col min="1290" max="1290" width="11.5703125" style="9" hidden="1" customWidth="1"/>
    <col min="1291" max="1293" width="12.7109375" style="9" customWidth="1"/>
    <col min="1294" max="1536" width="11.42578125" style="9"/>
    <col min="1537" max="1537" width="9.5703125" style="9" customWidth="1"/>
    <col min="1538" max="1538" width="50.7109375" style="9" customWidth="1"/>
    <col min="1539" max="1539" width="12.28515625" style="9" customWidth="1"/>
    <col min="1540" max="1540" width="8" style="9" customWidth="1"/>
    <col min="1541" max="1541" width="6.7109375" style="9" customWidth="1"/>
    <col min="1542" max="1543" width="12.7109375" style="9" customWidth="1"/>
    <col min="1544" max="1544" width="20.7109375" style="9" customWidth="1"/>
    <col min="1545" max="1545" width="12.7109375" style="9" customWidth="1"/>
    <col min="1546" max="1546" width="11.5703125" style="9" hidden="1" customWidth="1"/>
    <col min="1547" max="1549" width="12.7109375" style="9" customWidth="1"/>
    <col min="1550" max="1792" width="11.42578125" style="9"/>
    <col min="1793" max="1793" width="9.5703125" style="9" customWidth="1"/>
    <col min="1794" max="1794" width="50.7109375" style="9" customWidth="1"/>
    <col min="1795" max="1795" width="12.28515625" style="9" customWidth="1"/>
    <col min="1796" max="1796" width="8" style="9" customWidth="1"/>
    <col min="1797" max="1797" width="6.7109375" style="9" customWidth="1"/>
    <col min="1798" max="1799" width="12.7109375" style="9" customWidth="1"/>
    <col min="1800" max="1800" width="20.7109375" style="9" customWidth="1"/>
    <col min="1801" max="1801" width="12.7109375" style="9" customWidth="1"/>
    <col min="1802" max="1802" width="11.5703125" style="9" hidden="1" customWidth="1"/>
    <col min="1803" max="1805" width="12.7109375" style="9" customWidth="1"/>
    <col min="1806" max="2048" width="11.42578125" style="9"/>
    <col min="2049" max="2049" width="9.5703125" style="9" customWidth="1"/>
    <col min="2050" max="2050" width="50.7109375" style="9" customWidth="1"/>
    <col min="2051" max="2051" width="12.28515625" style="9" customWidth="1"/>
    <col min="2052" max="2052" width="8" style="9" customWidth="1"/>
    <col min="2053" max="2053" width="6.7109375" style="9" customWidth="1"/>
    <col min="2054" max="2055" width="12.7109375" style="9" customWidth="1"/>
    <col min="2056" max="2056" width="20.7109375" style="9" customWidth="1"/>
    <col min="2057" max="2057" width="12.7109375" style="9" customWidth="1"/>
    <col min="2058" max="2058" width="11.5703125" style="9" hidden="1" customWidth="1"/>
    <col min="2059" max="2061" width="12.7109375" style="9" customWidth="1"/>
    <col min="2062" max="2304" width="11.42578125" style="9"/>
    <col min="2305" max="2305" width="9.5703125" style="9" customWidth="1"/>
    <col min="2306" max="2306" width="50.7109375" style="9" customWidth="1"/>
    <col min="2307" max="2307" width="12.28515625" style="9" customWidth="1"/>
    <col min="2308" max="2308" width="8" style="9" customWidth="1"/>
    <col min="2309" max="2309" width="6.7109375" style="9" customWidth="1"/>
    <col min="2310" max="2311" width="12.7109375" style="9" customWidth="1"/>
    <col min="2312" max="2312" width="20.7109375" style="9" customWidth="1"/>
    <col min="2313" max="2313" width="12.7109375" style="9" customWidth="1"/>
    <col min="2314" max="2314" width="11.5703125" style="9" hidden="1" customWidth="1"/>
    <col min="2315" max="2317" width="12.7109375" style="9" customWidth="1"/>
    <col min="2318" max="2560" width="11.42578125" style="9"/>
    <col min="2561" max="2561" width="9.5703125" style="9" customWidth="1"/>
    <col min="2562" max="2562" width="50.7109375" style="9" customWidth="1"/>
    <col min="2563" max="2563" width="12.28515625" style="9" customWidth="1"/>
    <col min="2564" max="2564" width="8" style="9" customWidth="1"/>
    <col min="2565" max="2565" width="6.7109375" style="9" customWidth="1"/>
    <col min="2566" max="2567" width="12.7109375" style="9" customWidth="1"/>
    <col min="2568" max="2568" width="20.7109375" style="9" customWidth="1"/>
    <col min="2569" max="2569" width="12.7109375" style="9" customWidth="1"/>
    <col min="2570" max="2570" width="11.5703125" style="9" hidden="1" customWidth="1"/>
    <col min="2571" max="2573" width="12.7109375" style="9" customWidth="1"/>
    <col min="2574" max="2816" width="11.42578125" style="9"/>
    <col min="2817" max="2817" width="9.5703125" style="9" customWidth="1"/>
    <col min="2818" max="2818" width="50.7109375" style="9" customWidth="1"/>
    <col min="2819" max="2819" width="12.28515625" style="9" customWidth="1"/>
    <col min="2820" max="2820" width="8" style="9" customWidth="1"/>
    <col min="2821" max="2821" width="6.7109375" style="9" customWidth="1"/>
    <col min="2822" max="2823" width="12.7109375" style="9" customWidth="1"/>
    <col min="2824" max="2824" width="20.7109375" style="9" customWidth="1"/>
    <col min="2825" max="2825" width="12.7109375" style="9" customWidth="1"/>
    <col min="2826" max="2826" width="11.5703125" style="9" hidden="1" customWidth="1"/>
    <col min="2827" max="2829" width="12.7109375" style="9" customWidth="1"/>
    <col min="2830" max="3072" width="11.42578125" style="9"/>
    <col min="3073" max="3073" width="9.5703125" style="9" customWidth="1"/>
    <col min="3074" max="3074" width="50.7109375" style="9" customWidth="1"/>
    <col min="3075" max="3075" width="12.28515625" style="9" customWidth="1"/>
    <col min="3076" max="3076" width="8" style="9" customWidth="1"/>
    <col min="3077" max="3077" width="6.7109375" style="9" customWidth="1"/>
    <col min="3078" max="3079" width="12.7109375" style="9" customWidth="1"/>
    <col min="3080" max="3080" width="20.7109375" style="9" customWidth="1"/>
    <col min="3081" max="3081" width="12.7109375" style="9" customWidth="1"/>
    <col min="3082" max="3082" width="11.5703125" style="9" hidden="1" customWidth="1"/>
    <col min="3083" max="3085" width="12.7109375" style="9" customWidth="1"/>
    <col min="3086" max="3328" width="11.42578125" style="9"/>
    <col min="3329" max="3329" width="9.5703125" style="9" customWidth="1"/>
    <col min="3330" max="3330" width="50.7109375" style="9" customWidth="1"/>
    <col min="3331" max="3331" width="12.28515625" style="9" customWidth="1"/>
    <col min="3332" max="3332" width="8" style="9" customWidth="1"/>
    <col min="3333" max="3333" width="6.7109375" style="9" customWidth="1"/>
    <col min="3334" max="3335" width="12.7109375" style="9" customWidth="1"/>
    <col min="3336" max="3336" width="20.7109375" style="9" customWidth="1"/>
    <col min="3337" max="3337" width="12.7109375" style="9" customWidth="1"/>
    <col min="3338" max="3338" width="11.5703125" style="9" hidden="1" customWidth="1"/>
    <col min="3339" max="3341" width="12.7109375" style="9" customWidth="1"/>
    <col min="3342" max="3584" width="11.42578125" style="9"/>
    <col min="3585" max="3585" width="9.5703125" style="9" customWidth="1"/>
    <col min="3586" max="3586" width="50.7109375" style="9" customWidth="1"/>
    <col min="3587" max="3587" width="12.28515625" style="9" customWidth="1"/>
    <col min="3588" max="3588" width="8" style="9" customWidth="1"/>
    <col min="3589" max="3589" width="6.7109375" style="9" customWidth="1"/>
    <col min="3590" max="3591" width="12.7109375" style="9" customWidth="1"/>
    <col min="3592" max="3592" width="20.7109375" style="9" customWidth="1"/>
    <col min="3593" max="3593" width="12.7109375" style="9" customWidth="1"/>
    <col min="3594" max="3594" width="11.5703125" style="9" hidden="1" customWidth="1"/>
    <col min="3595" max="3597" width="12.7109375" style="9" customWidth="1"/>
    <col min="3598" max="3840" width="11.42578125" style="9"/>
    <col min="3841" max="3841" width="9.5703125" style="9" customWidth="1"/>
    <col min="3842" max="3842" width="50.7109375" style="9" customWidth="1"/>
    <col min="3843" max="3843" width="12.28515625" style="9" customWidth="1"/>
    <col min="3844" max="3844" width="8" style="9" customWidth="1"/>
    <col min="3845" max="3845" width="6.7109375" style="9" customWidth="1"/>
    <col min="3846" max="3847" width="12.7109375" style="9" customWidth="1"/>
    <col min="3848" max="3848" width="20.7109375" style="9" customWidth="1"/>
    <col min="3849" max="3849" width="12.7109375" style="9" customWidth="1"/>
    <col min="3850" max="3850" width="11.5703125" style="9" hidden="1" customWidth="1"/>
    <col min="3851" max="3853" width="12.7109375" style="9" customWidth="1"/>
    <col min="3854" max="4096" width="11.42578125" style="9"/>
    <col min="4097" max="4097" width="9.5703125" style="9" customWidth="1"/>
    <col min="4098" max="4098" width="50.7109375" style="9" customWidth="1"/>
    <col min="4099" max="4099" width="12.28515625" style="9" customWidth="1"/>
    <col min="4100" max="4100" width="8" style="9" customWidth="1"/>
    <col min="4101" max="4101" width="6.7109375" style="9" customWidth="1"/>
    <col min="4102" max="4103" width="12.7109375" style="9" customWidth="1"/>
    <col min="4104" max="4104" width="20.7109375" style="9" customWidth="1"/>
    <col min="4105" max="4105" width="12.7109375" style="9" customWidth="1"/>
    <col min="4106" max="4106" width="11.5703125" style="9" hidden="1" customWidth="1"/>
    <col min="4107" max="4109" width="12.7109375" style="9" customWidth="1"/>
    <col min="4110" max="4352" width="11.42578125" style="9"/>
    <col min="4353" max="4353" width="9.5703125" style="9" customWidth="1"/>
    <col min="4354" max="4354" width="50.7109375" style="9" customWidth="1"/>
    <col min="4355" max="4355" width="12.28515625" style="9" customWidth="1"/>
    <col min="4356" max="4356" width="8" style="9" customWidth="1"/>
    <col min="4357" max="4357" width="6.7109375" style="9" customWidth="1"/>
    <col min="4358" max="4359" width="12.7109375" style="9" customWidth="1"/>
    <col min="4360" max="4360" width="20.7109375" style="9" customWidth="1"/>
    <col min="4361" max="4361" width="12.7109375" style="9" customWidth="1"/>
    <col min="4362" max="4362" width="11.5703125" style="9" hidden="1" customWidth="1"/>
    <col min="4363" max="4365" width="12.7109375" style="9" customWidth="1"/>
    <col min="4366" max="4608" width="11.42578125" style="9"/>
    <col min="4609" max="4609" width="9.5703125" style="9" customWidth="1"/>
    <col min="4610" max="4610" width="50.7109375" style="9" customWidth="1"/>
    <col min="4611" max="4611" width="12.28515625" style="9" customWidth="1"/>
    <col min="4612" max="4612" width="8" style="9" customWidth="1"/>
    <col min="4613" max="4613" width="6.7109375" style="9" customWidth="1"/>
    <col min="4614" max="4615" width="12.7109375" style="9" customWidth="1"/>
    <col min="4616" max="4616" width="20.7109375" style="9" customWidth="1"/>
    <col min="4617" max="4617" width="12.7109375" style="9" customWidth="1"/>
    <col min="4618" max="4618" width="11.5703125" style="9" hidden="1" customWidth="1"/>
    <col min="4619" max="4621" width="12.7109375" style="9" customWidth="1"/>
    <col min="4622" max="4864" width="11.42578125" style="9"/>
    <col min="4865" max="4865" width="9.5703125" style="9" customWidth="1"/>
    <col min="4866" max="4866" width="50.7109375" style="9" customWidth="1"/>
    <col min="4867" max="4867" width="12.28515625" style="9" customWidth="1"/>
    <col min="4868" max="4868" width="8" style="9" customWidth="1"/>
    <col min="4869" max="4869" width="6.7109375" style="9" customWidth="1"/>
    <col min="4870" max="4871" width="12.7109375" style="9" customWidth="1"/>
    <col min="4872" max="4872" width="20.7109375" style="9" customWidth="1"/>
    <col min="4873" max="4873" width="12.7109375" style="9" customWidth="1"/>
    <col min="4874" max="4874" width="11.5703125" style="9" hidden="1" customWidth="1"/>
    <col min="4875" max="4877" width="12.7109375" style="9" customWidth="1"/>
    <col min="4878" max="5120" width="11.42578125" style="9"/>
    <col min="5121" max="5121" width="9.5703125" style="9" customWidth="1"/>
    <col min="5122" max="5122" width="50.7109375" style="9" customWidth="1"/>
    <col min="5123" max="5123" width="12.28515625" style="9" customWidth="1"/>
    <col min="5124" max="5124" width="8" style="9" customWidth="1"/>
    <col min="5125" max="5125" width="6.7109375" style="9" customWidth="1"/>
    <col min="5126" max="5127" width="12.7109375" style="9" customWidth="1"/>
    <col min="5128" max="5128" width="20.7109375" style="9" customWidth="1"/>
    <col min="5129" max="5129" width="12.7109375" style="9" customWidth="1"/>
    <col min="5130" max="5130" width="11.5703125" style="9" hidden="1" customWidth="1"/>
    <col min="5131" max="5133" width="12.7109375" style="9" customWidth="1"/>
    <col min="5134" max="5376" width="11.42578125" style="9"/>
    <col min="5377" max="5377" width="9.5703125" style="9" customWidth="1"/>
    <col min="5378" max="5378" width="50.7109375" style="9" customWidth="1"/>
    <col min="5379" max="5379" width="12.28515625" style="9" customWidth="1"/>
    <col min="5380" max="5380" width="8" style="9" customWidth="1"/>
    <col min="5381" max="5381" width="6.7109375" style="9" customWidth="1"/>
    <col min="5382" max="5383" width="12.7109375" style="9" customWidth="1"/>
    <col min="5384" max="5384" width="20.7109375" style="9" customWidth="1"/>
    <col min="5385" max="5385" width="12.7109375" style="9" customWidth="1"/>
    <col min="5386" max="5386" width="11.5703125" style="9" hidden="1" customWidth="1"/>
    <col min="5387" max="5389" width="12.7109375" style="9" customWidth="1"/>
    <col min="5390" max="5632" width="11.42578125" style="9"/>
    <col min="5633" max="5633" width="9.5703125" style="9" customWidth="1"/>
    <col min="5634" max="5634" width="50.7109375" style="9" customWidth="1"/>
    <col min="5635" max="5635" width="12.28515625" style="9" customWidth="1"/>
    <col min="5636" max="5636" width="8" style="9" customWidth="1"/>
    <col min="5637" max="5637" width="6.7109375" style="9" customWidth="1"/>
    <col min="5638" max="5639" width="12.7109375" style="9" customWidth="1"/>
    <col min="5640" max="5640" width="20.7109375" style="9" customWidth="1"/>
    <col min="5641" max="5641" width="12.7109375" style="9" customWidth="1"/>
    <col min="5642" max="5642" width="11.5703125" style="9" hidden="1" customWidth="1"/>
    <col min="5643" max="5645" width="12.7109375" style="9" customWidth="1"/>
    <col min="5646" max="5888" width="11.42578125" style="9"/>
    <col min="5889" max="5889" width="9.5703125" style="9" customWidth="1"/>
    <col min="5890" max="5890" width="50.7109375" style="9" customWidth="1"/>
    <col min="5891" max="5891" width="12.28515625" style="9" customWidth="1"/>
    <col min="5892" max="5892" width="8" style="9" customWidth="1"/>
    <col min="5893" max="5893" width="6.7109375" style="9" customWidth="1"/>
    <col min="5894" max="5895" width="12.7109375" style="9" customWidth="1"/>
    <col min="5896" max="5896" width="20.7109375" style="9" customWidth="1"/>
    <col min="5897" max="5897" width="12.7109375" style="9" customWidth="1"/>
    <col min="5898" max="5898" width="11.5703125" style="9" hidden="1" customWidth="1"/>
    <col min="5899" max="5901" width="12.7109375" style="9" customWidth="1"/>
    <col min="5902" max="6144" width="11.42578125" style="9"/>
    <col min="6145" max="6145" width="9.5703125" style="9" customWidth="1"/>
    <col min="6146" max="6146" width="50.7109375" style="9" customWidth="1"/>
    <col min="6147" max="6147" width="12.28515625" style="9" customWidth="1"/>
    <col min="6148" max="6148" width="8" style="9" customWidth="1"/>
    <col min="6149" max="6149" width="6.7109375" style="9" customWidth="1"/>
    <col min="6150" max="6151" width="12.7109375" style="9" customWidth="1"/>
    <col min="6152" max="6152" width="20.7109375" style="9" customWidth="1"/>
    <col min="6153" max="6153" width="12.7109375" style="9" customWidth="1"/>
    <col min="6154" max="6154" width="11.5703125" style="9" hidden="1" customWidth="1"/>
    <col min="6155" max="6157" width="12.7109375" style="9" customWidth="1"/>
    <col min="6158" max="6400" width="11.42578125" style="9"/>
    <col min="6401" max="6401" width="9.5703125" style="9" customWidth="1"/>
    <col min="6402" max="6402" width="50.7109375" style="9" customWidth="1"/>
    <col min="6403" max="6403" width="12.28515625" style="9" customWidth="1"/>
    <col min="6404" max="6404" width="8" style="9" customWidth="1"/>
    <col min="6405" max="6405" width="6.7109375" style="9" customWidth="1"/>
    <col min="6406" max="6407" width="12.7109375" style="9" customWidth="1"/>
    <col min="6408" max="6408" width="20.7109375" style="9" customWidth="1"/>
    <col min="6409" max="6409" width="12.7109375" style="9" customWidth="1"/>
    <col min="6410" max="6410" width="11.5703125" style="9" hidden="1" customWidth="1"/>
    <col min="6411" max="6413" width="12.7109375" style="9" customWidth="1"/>
    <col min="6414" max="6656" width="11.42578125" style="9"/>
    <col min="6657" max="6657" width="9.5703125" style="9" customWidth="1"/>
    <col min="6658" max="6658" width="50.7109375" style="9" customWidth="1"/>
    <col min="6659" max="6659" width="12.28515625" style="9" customWidth="1"/>
    <col min="6660" max="6660" width="8" style="9" customWidth="1"/>
    <col min="6661" max="6661" width="6.7109375" style="9" customWidth="1"/>
    <col min="6662" max="6663" width="12.7109375" style="9" customWidth="1"/>
    <col min="6664" max="6664" width="20.7109375" style="9" customWidth="1"/>
    <col min="6665" max="6665" width="12.7109375" style="9" customWidth="1"/>
    <col min="6666" max="6666" width="11.5703125" style="9" hidden="1" customWidth="1"/>
    <col min="6667" max="6669" width="12.7109375" style="9" customWidth="1"/>
    <col min="6670" max="6912" width="11.42578125" style="9"/>
    <col min="6913" max="6913" width="9.5703125" style="9" customWidth="1"/>
    <col min="6914" max="6914" width="50.7109375" style="9" customWidth="1"/>
    <col min="6915" max="6915" width="12.28515625" style="9" customWidth="1"/>
    <col min="6916" max="6916" width="8" style="9" customWidth="1"/>
    <col min="6917" max="6917" width="6.7109375" style="9" customWidth="1"/>
    <col min="6918" max="6919" width="12.7109375" style="9" customWidth="1"/>
    <col min="6920" max="6920" width="20.7109375" style="9" customWidth="1"/>
    <col min="6921" max="6921" width="12.7109375" style="9" customWidth="1"/>
    <col min="6922" max="6922" width="11.5703125" style="9" hidden="1" customWidth="1"/>
    <col min="6923" max="6925" width="12.7109375" style="9" customWidth="1"/>
    <col min="6926" max="7168" width="11.42578125" style="9"/>
    <col min="7169" max="7169" width="9.5703125" style="9" customWidth="1"/>
    <col min="7170" max="7170" width="50.7109375" style="9" customWidth="1"/>
    <col min="7171" max="7171" width="12.28515625" style="9" customWidth="1"/>
    <col min="7172" max="7172" width="8" style="9" customWidth="1"/>
    <col min="7173" max="7173" width="6.7109375" style="9" customWidth="1"/>
    <col min="7174" max="7175" width="12.7109375" style="9" customWidth="1"/>
    <col min="7176" max="7176" width="20.7109375" style="9" customWidth="1"/>
    <col min="7177" max="7177" width="12.7109375" style="9" customWidth="1"/>
    <col min="7178" max="7178" width="11.5703125" style="9" hidden="1" customWidth="1"/>
    <col min="7179" max="7181" width="12.7109375" style="9" customWidth="1"/>
    <col min="7182" max="7424" width="11.42578125" style="9"/>
    <col min="7425" max="7425" width="9.5703125" style="9" customWidth="1"/>
    <col min="7426" max="7426" width="50.7109375" style="9" customWidth="1"/>
    <col min="7427" max="7427" width="12.28515625" style="9" customWidth="1"/>
    <col min="7428" max="7428" width="8" style="9" customWidth="1"/>
    <col min="7429" max="7429" width="6.7109375" style="9" customWidth="1"/>
    <col min="7430" max="7431" width="12.7109375" style="9" customWidth="1"/>
    <col min="7432" max="7432" width="20.7109375" style="9" customWidth="1"/>
    <col min="7433" max="7433" width="12.7109375" style="9" customWidth="1"/>
    <col min="7434" max="7434" width="11.5703125" style="9" hidden="1" customWidth="1"/>
    <col min="7435" max="7437" width="12.7109375" style="9" customWidth="1"/>
    <col min="7438" max="7680" width="11.42578125" style="9"/>
    <col min="7681" max="7681" width="9.5703125" style="9" customWidth="1"/>
    <col min="7682" max="7682" width="50.7109375" style="9" customWidth="1"/>
    <col min="7683" max="7683" width="12.28515625" style="9" customWidth="1"/>
    <col min="7684" max="7684" width="8" style="9" customWidth="1"/>
    <col min="7685" max="7685" width="6.7109375" style="9" customWidth="1"/>
    <col min="7686" max="7687" width="12.7109375" style="9" customWidth="1"/>
    <col min="7688" max="7688" width="20.7109375" style="9" customWidth="1"/>
    <col min="7689" max="7689" width="12.7109375" style="9" customWidth="1"/>
    <col min="7690" max="7690" width="11.5703125" style="9" hidden="1" customWidth="1"/>
    <col min="7691" max="7693" width="12.7109375" style="9" customWidth="1"/>
    <col min="7694" max="7936" width="11.42578125" style="9"/>
    <col min="7937" max="7937" width="9.5703125" style="9" customWidth="1"/>
    <col min="7938" max="7938" width="50.7109375" style="9" customWidth="1"/>
    <col min="7939" max="7939" width="12.28515625" style="9" customWidth="1"/>
    <col min="7940" max="7940" width="8" style="9" customWidth="1"/>
    <col min="7941" max="7941" width="6.7109375" style="9" customWidth="1"/>
    <col min="7942" max="7943" width="12.7109375" style="9" customWidth="1"/>
    <col min="7944" max="7944" width="20.7109375" style="9" customWidth="1"/>
    <col min="7945" max="7945" width="12.7109375" style="9" customWidth="1"/>
    <col min="7946" max="7946" width="11.5703125" style="9" hidden="1" customWidth="1"/>
    <col min="7947" max="7949" width="12.7109375" style="9" customWidth="1"/>
    <col min="7950" max="8192" width="11.42578125" style="9"/>
    <col min="8193" max="8193" width="9.5703125" style="9" customWidth="1"/>
    <col min="8194" max="8194" width="50.7109375" style="9" customWidth="1"/>
    <col min="8195" max="8195" width="12.28515625" style="9" customWidth="1"/>
    <col min="8196" max="8196" width="8" style="9" customWidth="1"/>
    <col min="8197" max="8197" width="6.7109375" style="9" customWidth="1"/>
    <col min="8198" max="8199" width="12.7109375" style="9" customWidth="1"/>
    <col min="8200" max="8200" width="20.7109375" style="9" customWidth="1"/>
    <col min="8201" max="8201" width="12.7109375" style="9" customWidth="1"/>
    <col min="8202" max="8202" width="11.5703125" style="9" hidden="1" customWidth="1"/>
    <col min="8203" max="8205" width="12.7109375" style="9" customWidth="1"/>
    <col min="8206" max="8448" width="11.42578125" style="9"/>
    <col min="8449" max="8449" width="9.5703125" style="9" customWidth="1"/>
    <col min="8450" max="8450" width="50.7109375" style="9" customWidth="1"/>
    <col min="8451" max="8451" width="12.28515625" style="9" customWidth="1"/>
    <col min="8452" max="8452" width="8" style="9" customWidth="1"/>
    <col min="8453" max="8453" width="6.7109375" style="9" customWidth="1"/>
    <col min="8454" max="8455" width="12.7109375" style="9" customWidth="1"/>
    <col min="8456" max="8456" width="20.7109375" style="9" customWidth="1"/>
    <col min="8457" max="8457" width="12.7109375" style="9" customWidth="1"/>
    <col min="8458" max="8458" width="11.5703125" style="9" hidden="1" customWidth="1"/>
    <col min="8459" max="8461" width="12.7109375" style="9" customWidth="1"/>
    <col min="8462" max="8704" width="11.42578125" style="9"/>
    <col min="8705" max="8705" width="9.5703125" style="9" customWidth="1"/>
    <col min="8706" max="8706" width="50.7109375" style="9" customWidth="1"/>
    <col min="8707" max="8707" width="12.28515625" style="9" customWidth="1"/>
    <col min="8708" max="8708" width="8" style="9" customWidth="1"/>
    <col min="8709" max="8709" width="6.7109375" style="9" customWidth="1"/>
    <col min="8710" max="8711" width="12.7109375" style="9" customWidth="1"/>
    <col min="8712" max="8712" width="20.7109375" style="9" customWidth="1"/>
    <col min="8713" max="8713" width="12.7109375" style="9" customWidth="1"/>
    <col min="8714" max="8714" width="11.5703125" style="9" hidden="1" customWidth="1"/>
    <col min="8715" max="8717" width="12.7109375" style="9" customWidth="1"/>
    <col min="8718" max="8960" width="11.42578125" style="9"/>
    <col min="8961" max="8961" width="9.5703125" style="9" customWidth="1"/>
    <col min="8962" max="8962" width="50.7109375" style="9" customWidth="1"/>
    <col min="8963" max="8963" width="12.28515625" style="9" customWidth="1"/>
    <col min="8964" max="8964" width="8" style="9" customWidth="1"/>
    <col min="8965" max="8965" width="6.7109375" style="9" customWidth="1"/>
    <col min="8966" max="8967" width="12.7109375" style="9" customWidth="1"/>
    <col min="8968" max="8968" width="20.7109375" style="9" customWidth="1"/>
    <col min="8969" max="8969" width="12.7109375" style="9" customWidth="1"/>
    <col min="8970" max="8970" width="11.5703125" style="9" hidden="1" customWidth="1"/>
    <col min="8971" max="8973" width="12.7109375" style="9" customWidth="1"/>
    <col min="8974" max="9216" width="11.42578125" style="9"/>
    <col min="9217" max="9217" width="9.5703125" style="9" customWidth="1"/>
    <col min="9218" max="9218" width="50.7109375" style="9" customWidth="1"/>
    <col min="9219" max="9219" width="12.28515625" style="9" customWidth="1"/>
    <col min="9220" max="9220" width="8" style="9" customWidth="1"/>
    <col min="9221" max="9221" width="6.7109375" style="9" customWidth="1"/>
    <col min="9222" max="9223" width="12.7109375" style="9" customWidth="1"/>
    <col min="9224" max="9224" width="20.7109375" style="9" customWidth="1"/>
    <col min="9225" max="9225" width="12.7109375" style="9" customWidth="1"/>
    <col min="9226" max="9226" width="11.5703125" style="9" hidden="1" customWidth="1"/>
    <col min="9227" max="9229" width="12.7109375" style="9" customWidth="1"/>
    <col min="9230" max="9472" width="11.42578125" style="9"/>
    <col min="9473" max="9473" width="9.5703125" style="9" customWidth="1"/>
    <col min="9474" max="9474" width="50.7109375" style="9" customWidth="1"/>
    <col min="9475" max="9475" width="12.28515625" style="9" customWidth="1"/>
    <col min="9476" max="9476" width="8" style="9" customWidth="1"/>
    <col min="9477" max="9477" width="6.7109375" style="9" customWidth="1"/>
    <col min="9478" max="9479" width="12.7109375" style="9" customWidth="1"/>
    <col min="9480" max="9480" width="20.7109375" style="9" customWidth="1"/>
    <col min="9481" max="9481" width="12.7109375" style="9" customWidth="1"/>
    <col min="9482" max="9482" width="11.5703125" style="9" hidden="1" customWidth="1"/>
    <col min="9483" max="9485" width="12.7109375" style="9" customWidth="1"/>
    <col min="9486" max="9728" width="11.42578125" style="9"/>
    <col min="9729" max="9729" width="9.5703125" style="9" customWidth="1"/>
    <col min="9730" max="9730" width="50.7109375" style="9" customWidth="1"/>
    <col min="9731" max="9731" width="12.28515625" style="9" customWidth="1"/>
    <col min="9732" max="9732" width="8" style="9" customWidth="1"/>
    <col min="9733" max="9733" width="6.7109375" style="9" customWidth="1"/>
    <col min="9734" max="9735" width="12.7109375" style="9" customWidth="1"/>
    <col min="9736" max="9736" width="20.7109375" style="9" customWidth="1"/>
    <col min="9737" max="9737" width="12.7109375" style="9" customWidth="1"/>
    <col min="9738" max="9738" width="11.5703125" style="9" hidden="1" customWidth="1"/>
    <col min="9739" max="9741" width="12.7109375" style="9" customWidth="1"/>
    <col min="9742" max="9984" width="11.42578125" style="9"/>
    <col min="9985" max="9985" width="9.5703125" style="9" customWidth="1"/>
    <col min="9986" max="9986" width="50.7109375" style="9" customWidth="1"/>
    <col min="9987" max="9987" width="12.28515625" style="9" customWidth="1"/>
    <col min="9988" max="9988" width="8" style="9" customWidth="1"/>
    <col min="9989" max="9989" width="6.7109375" style="9" customWidth="1"/>
    <col min="9990" max="9991" width="12.7109375" style="9" customWidth="1"/>
    <col min="9992" max="9992" width="20.7109375" style="9" customWidth="1"/>
    <col min="9993" max="9993" width="12.7109375" style="9" customWidth="1"/>
    <col min="9994" max="9994" width="11.5703125" style="9" hidden="1" customWidth="1"/>
    <col min="9995" max="9997" width="12.7109375" style="9" customWidth="1"/>
    <col min="9998" max="10240" width="11.42578125" style="9"/>
    <col min="10241" max="10241" width="9.5703125" style="9" customWidth="1"/>
    <col min="10242" max="10242" width="50.7109375" style="9" customWidth="1"/>
    <col min="10243" max="10243" width="12.28515625" style="9" customWidth="1"/>
    <col min="10244" max="10244" width="8" style="9" customWidth="1"/>
    <col min="10245" max="10245" width="6.7109375" style="9" customWidth="1"/>
    <col min="10246" max="10247" width="12.7109375" style="9" customWidth="1"/>
    <col min="10248" max="10248" width="20.7109375" style="9" customWidth="1"/>
    <col min="10249" max="10249" width="12.7109375" style="9" customWidth="1"/>
    <col min="10250" max="10250" width="11.5703125" style="9" hidden="1" customWidth="1"/>
    <col min="10251" max="10253" width="12.7109375" style="9" customWidth="1"/>
    <col min="10254" max="10496" width="11.42578125" style="9"/>
    <col min="10497" max="10497" width="9.5703125" style="9" customWidth="1"/>
    <col min="10498" max="10498" width="50.7109375" style="9" customWidth="1"/>
    <col min="10499" max="10499" width="12.28515625" style="9" customWidth="1"/>
    <col min="10500" max="10500" width="8" style="9" customWidth="1"/>
    <col min="10501" max="10501" width="6.7109375" style="9" customWidth="1"/>
    <col min="10502" max="10503" width="12.7109375" style="9" customWidth="1"/>
    <col min="10504" max="10504" width="20.7109375" style="9" customWidth="1"/>
    <col min="10505" max="10505" width="12.7109375" style="9" customWidth="1"/>
    <col min="10506" max="10506" width="11.5703125" style="9" hidden="1" customWidth="1"/>
    <col min="10507" max="10509" width="12.7109375" style="9" customWidth="1"/>
    <col min="10510" max="10752" width="11.42578125" style="9"/>
    <col min="10753" max="10753" width="9.5703125" style="9" customWidth="1"/>
    <col min="10754" max="10754" width="50.7109375" style="9" customWidth="1"/>
    <col min="10755" max="10755" width="12.28515625" style="9" customWidth="1"/>
    <col min="10756" max="10756" width="8" style="9" customWidth="1"/>
    <col min="10757" max="10757" width="6.7109375" style="9" customWidth="1"/>
    <col min="10758" max="10759" width="12.7109375" style="9" customWidth="1"/>
    <col min="10760" max="10760" width="20.7109375" style="9" customWidth="1"/>
    <col min="10761" max="10761" width="12.7109375" style="9" customWidth="1"/>
    <col min="10762" max="10762" width="11.5703125" style="9" hidden="1" customWidth="1"/>
    <col min="10763" max="10765" width="12.7109375" style="9" customWidth="1"/>
    <col min="10766" max="11008" width="11.42578125" style="9"/>
    <col min="11009" max="11009" width="9.5703125" style="9" customWidth="1"/>
    <col min="11010" max="11010" width="50.7109375" style="9" customWidth="1"/>
    <col min="11011" max="11011" width="12.28515625" style="9" customWidth="1"/>
    <col min="11012" max="11012" width="8" style="9" customWidth="1"/>
    <col min="11013" max="11013" width="6.7109375" style="9" customWidth="1"/>
    <col min="11014" max="11015" width="12.7109375" style="9" customWidth="1"/>
    <col min="11016" max="11016" width="20.7109375" style="9" customWidth="1"/>
    <col min="11017" max="11017" width="12.7109375" style="9" customWidth="1"/>
    <col min="11018" max="11018" width="11.5703125" style="9" hidden="1" customWidth="1"/>
    <col min="11019" max="11021" width="12.7109375" style="9" customWidth="1"/>
    <col min="11022" max="11264" width="11.42578125" style="9"/>
    <col min="11265" max="11265" width="9.5703125" style="9" customWidth="1"/>
    <col min="11266" max="11266" width="50.7109375" style="9" customWidth="1"/>
    <col min="11267" max="11267" width="12.28515625" style="9" customWidth="1"/>
    <col min="11268" max="11268" width="8" style="9" customWidth="1"/>
    <col min="11269" max="11269" width="6.7109375" style="9" customWidth="1"/>
    <col min="11270" max="11271" width="12.7109375" style="9" customWidth="1"/>
    <col min="11272" max="11272" width="20.7109375" style="9" customWidth="1"/>
    <col min="11273" max="11273" width="12.7109375" style="9" customWidth="1"/>
    <col min="11274" max="11274" width="11.5703125" style="9" hidden="1" customWidth="1"/>
    <col min="11275" max="11277" width="12.7109375" style="9" customWidth="1"/>
    <col min="11278" max="11520" width="11.42578125" style="9"/>
    <col min="11521" max="11521" width="9.5703125" style="9" customWidth="1"/>
    <col min="11522" max="11522" width="50.7109375" style="9" customWidth="1"/>
    <col min="11523" max="11523" width="12.28515625" style="9" customWidth="1"/>
    <col min="11524" max="11524" width="8" style="9" customWidth="1"/>
    <col min="11525" max="11525" width="6.7109375" style="9" customWidth="1"/>
    <col min="11526" max="11527" width="12.7109375" style="9" customWidth="1"/>
    <col min="11528" max="11528" width="20.7109375" style="9" customWidth="1"/>
    <col min="11529" max="11529" width="12.7109375" style="9" customWidth="1"/>
    <col min="11530" max="11530" width="11.5703125" style="9" hidden="1" customWidth="1"/>
    <col min="11531" max="11533" width="12.7109375" style="9" customWidth="1"/>
    <col min="11534" max="11776" width="11.42578125" style="9"/>
    <col min="11777" max="11777" width="9.5703125" style="9" customWidth="1"/>
    <col min="11778" max="11778" width="50.7109375" style="9" customWidth="1"/>
    <col min="11779" max="11779" width="12.28515625" style="9" customWidth="1"/>
    <col min="11780" max="11780" width="8" style="9" customWidth="1"/>
    <col min="11781" max="11781" width="6.7109375" style="9" customWidth="1"/>
    <col min="11782" max="11783" width="12.7109375" style="9" customWidth="1"/>
    <col min="11784" max="11784" width="20.7109375" style="9" customWidth="1"/>
    <col min="11785" max="11785" width="12.7109375" style="9" customWidth="1"/>
    <col min="11786" max="11786" width="11.5703125" style="9" hidden="1" customWidth="1"/>
    <col min="11787" max="11789" width="12.7109375" style="9" customWidth="1"/>
    <col min="11790" max="12032" width="11.42578125" style="9"/>
    <col min="12033" max="12033" width="9.5703125" style="9" customWidth="1"/>
    <col min="12034" max="12034" width="50.7109375" style="9" customWidth="1"/>
    <col min="12035" max="12035" width="12.28515625" style="9" customWidth="1"/>
    <col min="12036" max="12036" width="8" style="9" customWidth="1"/>
    <col min="12037" max="12037" width="6.7109375" style="9" customWidth="1"/>
    <col min="12038" max="12039" width="12.7109375" style="9" customWidth="1"/>
    <col min="12040" max="12040" width="20.7109375" style="9" customWidth="1"/>
    <col min="12041" max="12041" width="12.7109375" style="9" customWidth="1"/>
    <col min="12042" max="12042" width="11.5703125" style="9" hidden="1" customWidth="1"/>
    <col min="12043" max="12045" width="12.7109375" style="9" customWidth="1"/>
    <col min="12046" max="12288" width="11.42578125" style="9"/>
    <col min="12289" max="12289" width="9.5703125" style="9" customWidth="1"/>
    <col min="12290" max="12290" width="50.7109375" style="9" customWidth="1"/>
    <col min="12291" max="12291" width="12.28515625" style="9" customWidth="1"/>
    <col min="12292" max="12292" width="8" style="9" customWidth="1"/>
    <col min="12293" max="12293" width="6.7109375" style="9" customWidth="1"/>
    <col min="12294" max="12295" width="12.7109375" style="9" customWidth="1"/>
    <col min="12296" max="12296" width="20.7109375" style="9" customWidth="1"/>
    <col min="12297" max="12297" width="12.7109375" style="9" customWidth="1"/>
    <col min="12298" max="12298" width="11.5703125" style="9" hidden="1" customWidth="1"/>
    <col min="12299" max="12301" width="12.7109375" style="9" customWidth="1"/>
    <col min="12302" max="12544" width="11.42578125" style="9"/>
    <col min="12545" max="12545" width="9.5703125" style="9" customWidth="1"/>
    <col min="12546" max="12546" width="50.7109375" style="9" customWidth="1"/>
    <col min="12547" max="12547" width="12.28515625" style="9" customWidth="1"/>
    <col min="12548" max="12548" width="8" style="9" customWidth="1"/>
    <col min="12549" max="12549" width="6.7109375" style="9" customWidth="1"/>
    <col min="12550" max="12551" width="12.7109375" style="9" customWidth="1"/>
    <col min="12552" max="12552" width="20.7109375" style="9" customWidth="1"/>
    <col min="12553" max="12553" width="12.7109375" style="9" customWidth="1"/>
    <col min="12554" max="12554" width="11.5703125" style="9" hidden="1" customWidth="1"/>
    <col min="12555" max="12557" width="12.7109375" style="9" customWidth="1"/>
    <col min="12558" max="12800" width="11.42578125" style="9"/>
    <col min="12801" max="12801" width="9.5703125" style="9" customWidth="1"/>
    <col min="12802" max="12802" width="50.7109375" style="9" customWidth="1"/>
    <col min="12803" max="12803" width="12.28515625" style="9" customWidth="1"/>
    <col min="12804" max="12804" width="8" style="9" customWidth="1"/>
    <col min="12805" max="12805" width="6.7109375" style="9" customWidth="1"/>
    <col min="12806" max="12807" width="12.7109375" style="9" customWidth="1"/>
    <col min="12808" max="12808" width="20.7109375" style="9" customWidth="1"/>
    <col min="12809" max="12809" width="12.7109375" style="9" customWidth="1"/>
    <col min="12810" max="12810" width="11.5703125" style="9" hidden="1" customWidth="1"/>
    <col min="12811" max="12813" width="12.7109375" style="9" customWidth="1"/>
    <col min="12814" max="13056" width="11.42578125" style="9"/>
    <col min="13057" max="13057" width="9.5703125" style="9" customWidth="1"/>
    <col min="13058" max="13058" width="50.7109375" style="9" customWidth="1"/>
    <col min="13059" max="13059" width="12.28515625" style="9" customWidth="1"/>
    <col min="13060" max="13060" width="8" style="9" customWidth="1"/>
    <col min="13061" max="13061" width="6.7109375" style="9" customWidth="1"/>
    <col min="13062" max="13063" width="12.7109375" style="9" customWidth="1"/>
    <col min="13064" max="13064" width="20.7109375" style="9" customWidth="1"/>
    <col min="13065" max="13065" width="12.7109375" style="9" customWidth="1"/>
    <col min="13066" max="13066" width="11.5703125" style="9" hidden="1" customWidth="1"/>
    <col min="13067" max="13069" width="12.7109375" style="9" customWidth="1"/>
    <col min="13070" max="13312" width="11.42578125" style="9"/>
    <col min="13313" max="13313" width="9.5703125" style="9" customWidth="1"/>
    <col min="13314" max="13314" width="50.7109375" style="9" customWidth="1"/>
    <col min="13315" max="13315" width="12.28515625" style="9" customWidth="1"/>
    <col min="13316" max="13316" width="8" style="9" customWidth="1"/>
    <col min="13317" max="13317" width="6.7109375" style="9" customWidth="1"/>
    <col min="13318" max="13319" width="12.7109375" style="9" customWidth="1"/>
    <col min="13320" max="13320" width="20.7109375" style="9" customWidth="1"/>
    <col min="13321" max="13321" width="12.7109375" style="9" customWidth="1"/>
    <col min="13322" max="13322" width="11.5703125" style="9" hidden="1" customWidth="1"/>
    <col min="13323" max="13325" width="12.7109375" style="9" customWidth="1"/>
    <col min="13326" max="13568" width="11.42578125" style="9"/>
    <col min="13569" max="13569" width="9.5703125" style="9" customWidth="1"/>
    <col min="13570" max="13570" width="50.7109375" style="9" customWidth="1"/>
    <col min="13571" max="13571" width="12.28515625" style="9" customWidth="1"/>
    <col min="13572" max="13572" width="8" style="9" customWidth="1"/>
    <col min="13573" max="13573" width="6.7109375" style="9" customWidth="1"/>
    <col min="13574" max="13575" width="12.7109375" style="9" customWidth="1"/>
    <col min="13576" max="13576" width="20.7109375" style="9" customWidth="1"/>
    <col min="13577" max="13577" width="12.7109375" style="9" customWidth="1"/>
    <col min="13578" max="13578" width="11.5703125" style="9" hidden="1" customWidth="1"/>
    <col min="13579" max="13581" width="12.7109375" style="9" customWidth="1"/>
    <col min="13582" max="13824" width="11.42578125" style="9"/>
    <col min="13825" max="13825" width="9.5703125" style="9" customWidth="1"/>
    <col min="13826" max="13826" width="50.7109375" style="9" customWidth="1"/>
    <col min="13827" max="13827" width="12.28515625" style="9" customWidth="1"/>
    <col min="13828" max="13828" width="8" style="9" customWidth="1"/>
    <col min="13829" max="13829" width="6.7109375" style="9" customWidth="1"/>
    <col min="13830" max="13831" width="12.7109375" style="9" customWidth="1"/>
    <col min="13832" max="13832" width="20.7109375" style="9" customWidth="1"/>
    <col min="13833" max="13833" width="12.7109375" style="9" customWidth="1"/>
    <col min="13834" max="13834" width="11.5703125" style="9" hidden="1" customWidth="1"/>
    <col min="13835" max="13837" width="12.7109375" style="9" customWidth="1"/>
    <col min="13838" max="14080" width="11.42578125" style="9"/>
    <col min="14081" max="14081" width="9.5703125" style="9" customWidth="1"/>
    <col min="14082" max="14082" width="50.7109375" style="9" customWidth="1"/>
    <col min="14083" max="14083" width="12.28515625" style="9" customWidth="1"/>
    <col min="14084" max="14084" width="8" style="9" customWidth="1"/>
    <col min="14085" max="14085" width="6.7109375" style="9" customWidth="1"/>
    <col min="14086" max="14087" width="12.7109375" style="9" customWidth="1"/>
    <col min="14088" max="14088" width="20.7109375" style="9" customWidth="1"/>
    <col min="14089" max="14089" width="12.7109375" style="9" customWidth="1"/>
    <col min="14090" max="14090" width="11.5703125" style="9" hidden="1" customWidth="1"/>
    <col min="14091" max="14093" width="12.7109375" style="9" customWidth="1"/>
    <col min="14094" max="14336" width="11.42578125" style="9"/>
    <col min="14337" max="14337" width="9.5703125" style="9" customWidth="1"/>
    <col min="14338" max="14338" width="50.7109375" style="9" customWidth="1"/>
    <col min="14339" max="14339" width="12.28515625" style="9" customWidth="1"/>
    <col min="14340" max="14340" width="8" style="9" customWidth="1"/>
    <col min="14341" max="14341" width="6.7109375" style="9" customWidth="1"/>
    <col min="14342" max="14343" width="12.7109375" style="9" customWidth="1"/>
    <col min="14344" max="14344" width="20.7109375" style="9" customWidth="1"/>
    <col min="14345" max="14345" width="12.7109375" style="9" customWidth="1"/>
    <col min="14346" max="14346" width="11.5703125" style="9" hidden="1" customWidth="1"/>
    <col min="14347" max="14349" width="12.7109375" style="9" customWidth="1"/>
    <col min="14350" max="14592" width="11.42578125" style="9"/>
    <col min="14593" max="14593" width="9.5703125" style="9" customWidth="1"/>
    <col min="14594" max="14594" width="50.7109375" style="9" customWidth="1"/>
    <col min="14595" max="14595" width="12.28515625" style="9" customWidth="1"/>
    <col min="14596" max="14596" width="8" style="9" customWidth="1"/>
    <col min="14597" max="14597" width="6.7109375" style="9" customWidth="1"/>
    <col min="14598" max="14599" width="12.7109375" style="9" customWidth="1"/>
    <col min="14600" max="14600" width="20.7109375" style="9" customWidth="1"/>
    <col min="14601" max="14601" width="12.7109375" style="9" customWidth="1"/>
    <col min="14602" max="14602" width="11.5703125" style="9" hidden="1" customWidth="1"/>
    <col min="14603" max="14605" width="12.7109375" style="9" customWidth="1"/>
    <col min="14606" max="14848" width="11.42578125" style="9"/>
    <col min="14849" max="14849" width="9.5703125" style="9" customWidth="1"/>
    <col min="14850" max="14850" width="50.7109375" style="9" customWidth="1"/>
    <col min="14851" max="14851" width="12.28515625" style="9" customWidth="1"/>
    <col min="14852" max="14852" width="8" style="9" customWidth="1"/>
    <col min="14853" max="14853" width="6.7109375" style="9" customWidth="1"/>
    <col min="14854" max="14855" width="12.7109375" style="9" customWidth="1"/>
    <col min="14856" max="14856" width="20.7109375" style="9" customWidth="1"/>
    <col min="14857" max="14857" width="12.7109375" style="9" customWidth="1"/>
    <col min="14858" max="14858" width="11.5703125" style="9" hidden="1" customWidth="1"/>
    <col min="14859" max="14861" width="12.7109375" style="9" customWidth="1"/>
    <col min="14862" max="15104" width="11.42578125" style="9"/>
    <col min="15105" max="15105" width="9.5703125" style="9" customWidth="1"/>
    <col min="15106" max="15106" width="50.7109375" style="9" customWidth="1"/>
    <col min="15107" max="15107" width="12.28515625" style="9" customWidth="1"/>
    <col min="15108" max="15108" width="8" style="9" customWidth="1"/>
    <col min="15109" max="15109" width="6.7109375" style="9" customWidth="1"/>
    <col min="15110" max="15111" width="12.7109375" style="9" customWidth="1"/>
    <col min="15112" max="15112" width="20.7109375" style="9" customWidth="1"/>
    <col min="15113" max="15113" width="12.7109375" style="9" customWidth="1"/>
    <col min="15114" max="15114" width="11.5703125" style="9" hidden="1" customWidth="1"/>
    <col min="15115" max="15117" width="12.7109375" style="9" customWidth="1"/>
    <col min="15118" max="15360" width="11.42578125" style="9"/>
    <col min="15361" max="15361" width="9.5703125" style="9" customWidth="1"/>
    <col min="15362" max="15362" width="50.7109375" style="9" customWidth="1"/>
    <col min="15363" max="15363" width="12.28515625" style="9" customWidth="1"/>
    <col min="15364" max="15364" width="8" style="9" customWidth="1"/>
    <col min="15365" max="15365" width="6.7109375" style="9" customWidth="1"/>
    <col min="15366" max="15367" width="12.7109375" style="9" customWidth="1"/>
    <col min="15368" max="15368" width="20.7109375" style="9" customWidth="1"/>
    <col min="15369" max="15369" width="12.7109375" style="9" customWidth="1"/>
    <col min="15370" max="15370" width="11.5703125" style="9" hidden="1" customWidth="1"/>
    <col min="15371" max="15373" width="12.7109375" style="9" customWidth="1"/>
    <col min="15374" max="15616" width="11.42578125" style="9"/>
    <col min="15617" max="15617" width="9.5703125" style="9" customWidth="1"/>
    <col min="15618" max="15618" width="50.7109375" style="9" customWidth="1"/>
    <col min="15619" max="15619" width="12.28515625" style="9" customWidth="1"/>
    <col min="15620" max="15620" width="8" style="9" customWidth="1"/>
    <col min="15621" max="15621" width="6.7109375" style="9" customWidth="1"/>
    <col min="15622" max="15623" width="12.7109375" style="9" customWidth="1"/>
    <col min="15624" max="15624" width="20.7109375" style="9" customWidth="1"/>
    <col min="15625" max="15625" width="12.7109375" style="9" customWidth="1"/>
    <col min="15626" max="15626" width="11.5703125" style="9" hidden="1" customWidth="1"/>
    <col min="15627" max="15629" width="12.7109375" style="9" customWidth="1"/>
    <col min="15630" max="15872" width="11.42578125" style="9"/>
    <col min="15873" max="15873" width="9.5703125" style="9" customWidth="1"/>
    <col min="15874" max="15874" width="50.7109375" style="9" customWidth="1"/>
    <col min="15875" max="15875" width="12.28515625" style="9" customWidth="1"/>
    <col min="15876" max="15876" width="8" style="9" customWidth="1"/>
    <col min="15877" max="15877" width="6.7109375" style="9" customWidth="1"/>
    <col min="15878" max="15879" width="12.7109375" style="9" customWidth="1"/>
    <col min="15880" max="15880" width="20.7109375" style="9" customWidth="1"/>
    <col min="15881" max="15881" width="12.7109375" style="9" customWidth="1"/>
    <col min="15882" max="15882" width="11.5703125" style="9" hidden="1" customWidth="1"/>
    <col min="15883" max="15885" width="12.7109375" style="9" customWidth="1"/>
    <col min="15886" max="16128" width="11.42578125" style="9"/>
    <col min="16129" max="16129" width="9.5703125" style="9" customWidth="1"/>
    <col min="16130" max="16130" width="50.7109375" style="9" customWidth="1"/>
    <col min="16131" max="16131" width="12.28515625" style="9" customWidth="1"/>
    <col min="16132" max="16132" width="8" style="9" customWidth="1"/>
    <col min="16133" max="16133" width="6.7109375" style="9" customWidth="1"/>
    <col min="16134" max="16135" width="12.7109375" style="9" customWidth="1"/>
    <col min="16136" max="16136" width="20.7109375" style="9" customWidth="1"/>
    <col min="16137" max="16137" width="12.7109375" style="9" customWidth="1"/>
    <col min="16138" max="16138" width="11.5703125" style="9" hidden="1" customWidth="1"/>
    <col min="16139" max="16141" width="12.7109375" style="9" customWidth="1"/>
    <col min="16142" max="16384" width="11.42578125" style="9"/>
  </cols>
  <sheetData>
    <row r="1" spans="1:19" ht="32.25" customHeight="1" x14ac:dyDescent="0.2">
      <c r="A1" s="73"/>
      <c r="B1" s="73"/>
      <c r="C1" s="74" t="s">
        <v>0</v>
      </c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9" s="10" customFormat="1" ht="32.25" customHeight="1" x14ac:dyDescent="0.2">
      <c r="A2" s="73"/>
      <c r="B2" s="73"/>
      <c r="C2" s="75" t="s">
        <v>679</v>
      </c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9" ht="32.25" customHeight="1" x14ac:dyDescent="0.2">
      <c r="A3" s="73"/>
      <c r="B3" s="73"/>
      <c r="C3" s="76" t="s">
        <v>680</v>
      </c>
      <c r="D3" s="76"/>
      <c r="E3" s="76"/>
      <c r="F3" s="76"/>
      <c r="G3" s="76"/>
      <c r="H3" s="76"/>
      <c r="I3" s="76"/>
      <c r="J3" s="11"/>
      <c r="K3" s="11" t="s">
        <v>67</v>
      </c>
      <c r="L3" s="11" t="s">
        <v>681</v>
      </c>
      <c r="M3" s="11" t="s">
        <v>1</v>
      </c>
      <c r="N3" s="12"/>
      <c r="O3" s="12"/>
      <c r="P3" s="12"/>
      <c r="Q3" s="12"/>
      <c r="R3" s="12"/>
      <c r="S3" s="12"/>
    </row>
    <row r="4" spans="1:19" ht="6.75" customHeight="1" x14ac:dyDescent="0.45">
      <c r="A4" s="13"/>
      <c r="B4" s="14"/>
      <c r="C4" s="15"/>
      <c r="D4" s="16"/>
      <c r="E4" s="17"/>
      <c r="F4" s="16"/>
      <c r="G4" s="18"/>
      <c r="H4" s="19"/>
      <c r="I4" s="20"/>
      <c r="J4" s="21"/>
      <c r="K4" s="22"/>
      <c r="L4" s="23"/>
      <c r="M4" s="24"/>
    </row>
    <row r="5" spans="1:19" s="33" customFormat="1" ht="24" customHeight="1" x14ac:dyDescent="0.2">
      <c r="A5" s="25"/>
      <c r="B5" s="26"/>
      <c r="C5" s="27"/>
      <c r="D5" s="28"/>
      <c r="E5" s="29"/>
      <c r="F5" s="28"/>
      <c r="G5" s="29"/>
      <c r="H5" s="30"/>
      <c r="I5" s="31"/>
      <c r="J5" s="29"/>
      <c r="K5" s="32"/>
      <c r="L5" s="77">
        <v>46146</v>
      </c>
      <c r="M5" s="77"/>
    </row>
    <row r="6" spans="1:19" s="33" customFormat="1" ht="18" customHeight="1" x14ac:dyDescent="0.2">
      <c r="A6" s="81" t="s">
        <v>6</v>
      </c>
      <c r="B6" s="82" t="s">
        <v>682</v>
      </c>
      <c r="C6" s="83" t="s">
        <v>631</v>
      </c>
      <c r="D6" s="34" t="s">
        <v>7</v>
      </c>
      <c r="E6" s="79" t="s">
        <v>8</v>
      </c>
      <c r="F6" s="84" t="s">
        <v>683</v>
      </c>
      <c r="G6" s="78" t="s">
        <v>684</v>
      </c>
      <c r="H6" s="35" t="s">
        <v>685</v>
      </c>
      <c r="I6" s="36" t="s">
        <v>686</v>
      </c>
      <c r="J6" s="37" t="s">
        <v>687</v>
      </c>
      <c r="K6" s="80" t="s">
        <v>688</v>
      </c>
      <c r="L6" s="80"/>
      <c r="M6" s="38" t="s">
        <v>688</v>
      </c>
    </row>
    <row r="7" spans="1:19" s="33" customFormat="1" ht="19.5" customHeight="1" x14ac:dyDescent="0.2">
      <c r="A7" s="81"/>
      <c r="B7" s="82"/>
      <c r="C7" s="82"/>
      <c r="D7" s="39" t="s">
        <v>689</v>
      </c>
      <c r="E7" s="79"/>
      <c r="F7" s="79"/>
      <c r="G7" s="79"/>
      <c r="H7" s="40" t="s">
        <v>690</v>
      </c>
      <c r="I7" s="41" t="s">
        <v>691</v>
      </c>
      <c r="J7" s="42" t="s">
        <v>692</v>
      </c>
      <c r="K7" s="43" t="s">
        <v>693</v>
      </c>
      <c r="L7" s="44" t="s">
        <v>694</v>
      </c>
      <c r="M7" s="45" t="s">
        <v>692</v>
      </c>
    </row>
    <row r="8" spans="1:19" s="55" customFormat="1" ht="6.75" customHeight="1" x14ac:dyDescent="0.2">
      <c r="A8" s="46"/>
      <c r="B8" s="47"/>
      <c r="C8" s="48"/>
      <c r="D8" s="49"/>
      <c r="E8" s="50"/>
      <c r="F8" s="49"/>
      <c r="G8" s="51"/>
      <c r="H8" s="52"/>
      <c r="I8" s="53"/>
      <c r="J8" s="50"/>
      <c r="K8" s="54"/>
      <c r="L8" s="54"/>
      <c r="M8" s="50"/>
      <c r="N8" s="33"/>
      <c r="O8" s="33"/>
    </row>
    <row r="9" spans="1:19" s="64" customFormat="1" ht="16.5" customHeight="1" x14ac:dyDescent="0.2">
      <c r="A9" s="56" t="s">
        <v>201</v>
      </c>
      <c r="B9" s="56" t="s">
        <v>202</v>
      </c>
      <c r="C9" s="57" t="s">
        <v>203</v>
      </c>
      <c r="D9" s="58">
        <v>82.26</v>
      </c>
      <c r="E9" s="58" t="s">
        <v>11</v>
      </c>
      <c r="F9" s="59" t="str">
        <f t="shared" ref="F9:F40" si="0">+$M$3</f>
        <v>0008</v>
      </c>
      <c r="G9" s="60"/>
      <c r="H9" s="61">
        <v>296</v>
      </c>
      <c r="I9" s="61">
        <v>12</v>
      </c>
      <c r="J9" s="62">
        <f t="shared" ref="J9:J40" si="1">D9*H9</f>
        <v>24348.960000000003</v>
      </c>
      <c r="K9" s="62">
        <f t="shared" ref="K9:K40" si="2">H9-I9</f>
        <v>284</v>
      </c>
      <c r="L9" s="62">
        <f t="shared" ref="L9:L40" si="3">H9-I9</f>
        <v>284</v>
      </c>
      <c r="M9" s="63">
        <f t="shared" ref="M9:M40" si="4">L9*D9</f>
        <v>23361.84</v>
      </c>
    </row>
    <row r="10" spans="1:19" s="64" customFormat="1" ht="16.5" customHeight="1" x14ac:dyDescent="0.2">
      <c r="A10" s="65" t="s">
        <v>49</v>
      </c>
      <c r="B10" s="65" t="s">
        <v>50</v>
      </c>
      <c r="C10" s="66" t="s">
        <v>555</v>
      </c>
      <c r="D10" s="67">
        <v>21.81</v>
      </c>
      <c r="E10" s="67" t="s">
        <v>11</v>
      </c>
      <c r="F10" s="68" t="str">
        <f t="shared" si="0"/>
        <v>0008</v>
      </c>
      <c r="G10" s="69"/>
      <c r="H10" s="70">
        <v>768</v>
      </c>
      <c r="I10" s="70">
        <v>0</v>
      </c>
      <c r="J10" s="62">
        <f t="shared" si="1"/>
        <v>16750.079999999998</v>
      </c>
      <c r="K10" s="62">
        <f t="shared" si="2"/>
        <v>768</v>
      </c>
      <c r="L10" s="62">
        <f t="shared" si="3"/>
        <v>768</v>
      </c>
      <c r="M10" s="63">
        <f t="shared" si="4"/>
        <v>16750.079999999998</v>
      </c>
    </row>
    <row r="11" spans="1:19" s="64" customFormat="1" ht="16.5" customHeight="1" x14ac:dyDescent="0.2">
      <c r="A11" s="56" t="s">
        <v>134</v>
      </c>
      <c r="B11" s="56" t="s">
        <v>135</v>
      </c>
      <c r="C11" s="57" t="s">
        <v>136</v>
      </c>
      <c r="D11" s="58">
        <v>19.7</v>
      </c>
      <c r="E11" s="58" t="s">
        <v>11</v>
      </c>
      <c r="F11" s="59" t="str">
        <f t="shared" si="0"/>
        <v>0008</v>
      </c>
      <c r="G11" s="60"/>
      <c r="H11" s="61">
        <v>608</v>
      </c>
      <c r="I11" s="61">
        <v>928</v>
      </c>
      <c r="J11" s="62">
        <f t="shared" si="1"/>
        <v>11977.6</v>
      </c>
      <c r="K11" s="62">
        <f t="shared" si="2"/>
        <v>-320</v>
      </c>
      <c r="L11" s="62">
        <f t="shared" si="3"/>
        <v>-320</v>
      </c>
      <c r="M11" s="63">
        <f t="shared" si="4"/>
        <v>-6304</v>
      </c>
    </row>
    <row r="12" spans="1:19" s="64" customFormat="1" ht="16.5" customHeight="1" x14ac:dyDescent="0.2">
      <c r="A12" s="56" t="s">
        <v>263</v>
      </c>
      <c r="B12" s="56" t="s">
        <v>264</v>
      </c>
      <c r="C12" s="57" t="s">
        <v>265</v>
      </c>
      <c r="D12" s="58">
        <v>2.92</v>
      </c>
      <c r="E12" s="58" t="s">
        <v>11</v>
      </c>
      <c r="F12" s="59" t="str">
        <f t="shared" si="0"/>
        <v>0008</v>
      </c>
      <c r="G12" s="60"/>
      <c r="H12" s="61">
        <v>84</v>
      </c>
      <c r="I12" s="61">
        <v>2005</v>
      </c>
      <c r="J12" s="62">
        <f t="shared" si="1"/>
        <v>245.28</v>
      </c>
      <c r="K12" s="62">
        <f t="shared" si="2"/>
        <v>-1921</v>
      </c>
      <c r="L12" s="62">
        <f t="shared" si="3"/>
        <v>-1921</v>
      </c>
      <c r="M12" s="63">
        <f t="shared" si="4"/>
        <v>-5609.32</v>
      </c>
    </row>
    <row r="13" spans="1:19" s="64" customFormat="1" ht="16.5" customHeight="1" x14ac:dyDescent="0.2">
      <c r="A13" s="56" t="s">
        <v>58</v>
      </c>
      <c r="B13" s="56" t="s">
        <v>59</v>
      </c>
      <c r="C13" s="57" t="s">
        <v>280</v>
      </c>
      <c r="D13" s="58">
        <v>10.46</v>
      </c>
      <c r="E13" s="58" t="s">
        <v>11</v>
      </c>
      <c r="F13" s="59" t="str">
        <f t="shared" si="0"/>
        <v>0008</v>
      </c>
      <c r="G13" s="60"/>
      <c r="H13" s="61">
        <v>576</v>
      </c>
      <c r="I13" s="61">
        <v>64</v>
      </c>
      <c r="J13" s="62">
        <f t="shared" si="1"/>
        <v>6024.9600000000009</v>
      </c>
      <c r="K13" s="62">
        <f t="shared" si="2"/>
        <v>512</v>
      </c>
      <c r="L13" s="62">
        <f t="shared" si="3"/>
        <v>512</v>
      </c>
      <c r="M13" s="63">
        <f t="shared" si="4"/>
        <v>5355.52</v>
      </c>
    </row>
    <row r="14" spans="1:19" s="64" customFormat="1" ht="16.5" customHeight="1" x14ac:dyDescent="0.2">
      <c r="A14" s="56" t="s">
        <v>185</v>
      </c>
      <c r="B14" s="56" t="s">
        <v>186</v>
      </c>
      <c r="C14" s="57" t="s">
        <v>16</v>
      </c>
      <c r="D14" s="58">
        <v>142.63</v>
      </c>
      <c r="E14" s="58" t="s">
        <v>11</v>
      </c>
      <c r="F14" s="59" t="str">
        <f t="shared" si="0"/>
        <v>0008</v>
      </c>
      <c r="G14" s="60"/>
      <c r="H14" s="61">
        <v>0</v>
      </c>
      <c r="I14" s="61">
        <v>30</v>
      </c>
      <c r="J14" s="62">
        <f t="shared" si="1"/>
        <v>0</v>
      </c>
      <c r="K14" s="62">
        <f t="shared" si="2"/>
        <v>-30</v>
      </c>
      <c r="L14" s="62">
        <f t="shared" si="3"/>
        <v>-30</v>
      </c>
      <c r="M14" s="63">
        <f t="shared" si="4"/>
        <v>-4278.8999999999996</v>
      </c>
    </row>
    <row r="15" spans="1:19" s="64" customFormat="1" ht="16.5" customHeight="1" x14ac:dyDescent="0.2">
      <c r="A15" s="56" t="s">
        <v>187</v>
      </c>
      <c r="B15" s="56" t="s">
        <v>188</v>
      </c>
      <c r="C15" s="57" t="s">
        <v>16</v>
      </c>
      <c r="D15" s="58">
        <v>142.63</v>
      </c>
      <c r="E15" s="58" t="s">
        <v>11</v>
      </c>
      <c r="F15" s="59" t="str">
        <f t="shared" si="0"/>
        <v>0008</v>
      </c>
      <c r="G15" s="60"/>
      <c r="H15" s="61">
        <v>0</v>
      </c>
      <c r="I15" s="61">
        <v>30</v>
      </c>
      <c r="J15" s="62">
        <f t="shared" si="1"/>
        <v>0</v>
      </c>
      <c r="K15" s="62">
        <f t="shared" si="2"/>
        <v>-30</v>
      </c>
      <c r="L15" s="62">
        <f t="shared" si="3"/>
        <v>-30</v>
      </c>
      <c r="M15" s="63">
        <f t="shared" si="4"/>
        <v>-4278.8999999999996</v>
      </c>
    </row>
    <row r="16" spans="1:19" s="64" customFormat="1" ht="16.5" customHeight="1" x14ac:dyDescent="0.2">
      <c r="A16" s="56" t="s">
        <v>189</v>
      </c>
      <c r="B16" s="56" t="s">
        <v>190</v>
      </c>
      <c r="C16" s="57" t="s">
        <v>16</v>
      </c>
      <c r="D16" s="58">
        <v>142.63</v>
      </c>
      <c r="E16" s="58" t="s">
        <v>11</v>
      </c>
      <c r="F16" s="59" t="str">
        <f t="shared" si="0"/>
        <v>0008</v>
      </c>
      <c r="G16" s="60"/>
      <c r="H16" s="61">
        <v>0</v>
      </c>
      <c r="I16" s="61">
        <v>30</v>
      </c>
      <c r="J16" s="62">
        <f t="shared" si="1"/>
        <v>0</v>
      </c>
      <c r="K16" s="62">
        <f t="shared" si="2"/>
        <v>-30</v>
      </c>
      <c r="L16" s="62">
        <f t="shared" si="3"/>
        <v>-30</v>
      </c>
      <c r="M16" s="63">
        <f t="shared" si="4"/>
        <v>-4278.8999999999996</v>
      </c>
    </row>
    <row r="17" spans="1:13" s="64" customFormat="1" ht="16.5" customHeight="1" x14ac:dyDescent="0.2">
      <c r="A17" s="56" t="s">
        <v>191</v>
      </c>
      <c r="B17" s="56" t="s">
        <v>192</v>
      </c>
      <c r="C17" s="57" t="s">
        <v>16</v>
      </c>
      <c r="D17" s="58">
        <v>142.63</v>
      </c>
      <c r="E17" s="58" t="s">
        <v>11</v>
      </c>
      <c r="F17" s="59" t="str">
        <f t="shared" si="0"/>
        <v>0008</v>
      </c>
      <c r="G17" s="60"/>
      <c r="H17" s="61">
        <v>0</v>
      </c>
      <c r="I17" s="61">
        <v>30</v>
      </c>
      <c r="J17" s="62">
        <f t="shared" si="1"/>
        <v>0</v>
      </c>
      <c r="K17" s="62">
        <f t="shared" si="2"/>
        <v>-30</v>
      </c>
      <c r="L17" s="62">
        <f t="shared" si="3"/>
        <v>-30</v>
      </c>
      <c r="M17" s="63">
        <f t="shared" si="4"/>
        <v>-4278.8999999999996</v>
      </c>
    </row>
    <row r="18" spans="1:13" s="64" customFormat="1" ht="16.5" customHeight="1" x14ac:dyDescent="0.2">
      <c r="A18" s="56" t="s">
        <v>133</v>
      </c>
      <c r="B18" s="56" t="s">
        <v>129</v>
      </c>
      <c r="C18" s="57" t="s">
        <v>282</v>
      </c>
      <c r="D18" s="58">
        <v>10.199999999999999</v>
      </c>
      <c r="E18" s="58" t="s">
        <v>11</v>
      </c>
      <c r="F18" s="59" t="str">
        <f t="shared" si="0"/>
        <v>0008</v>
      </c>
      <c r="G18" s="60"/>
      <c r="H18" s="61">
        <v>497</v>
      </c>
      <c r="I18" s="61">
        <v>152</v>
      </c>
      <c r="J18" s="62">
        <f t="shared" si="1"/>
        <v>5069.3999999999996</v>
      </c>
      <c r="K18" s="62">
        <f t="shared" si="2"/>
        <v>345</v>
      </c>
      <c r="L18" s="62">
        <f t="shared" si="3"/>
        <v>345</v>
      </c>
      <c r="M18" s="63">
        <f t="shared" si="4"/>
        <v>3518.9999999999995</v>
      </c>
    </row>
    <row r="19" spans="1:13" s="64" customFormat="1" ht="16.5" customHeight="1" x14ac:dyDescent="0.2">
      <c r="A19" s="56" t="s">
        <v>51</v>
      </c>
      <c r="B19" s="56" t="s">
        <v>52</v>
      </c>
      <c r="C19" s="57" t="s">
        <v>267</v>
      </c>
      <c r="D19" s="58">
        <v>7.04</v>
      </c>
      <c r="E19" s="58" t="s">
        <v>11</v>
      </c>
      <c r="F19" s="59" t="str">
        <f t="shared" si="0"/>
        <v>0008</v>
      </c>
      <c r="G19" s="60"/>
      <c r="H19" s="61">
        <v>0</v>
      </c>
      <c r="I19" s="61">
        <v>464</v>
      </c>
      <c r="J19" s="62">
        <f t="shared" si="1"/>
        <v>0</v>
      </c>
      <c r="K19" s="62">
        <f t="shared" si="2"/>
        <v>-464</v>
      </c>
      <c r="L19" s="62">
        <f t="shared" si="3"/>
        <v>-464</v>
      </c>
      <c r="M19" s="63">
        <f t="shared" si="4"/>
        <v>-3266.56</v>
      </c>
    </row>
    <row r="20" spans="1:13" s="64" customFormat="1" ht="16.5" customHeight="1" x14ac:dyDescent="0.2">
      <c r="A20" s="56" t="s">
        <v>42</v>
      </c>
      <c r="B20" s="56" t="s">
        <v>43</v>
      </c>
      <c r="C20" s="57" t="s">
        <v>255</v>
      </c>
      <c r="D20" s="58">
        <v>2.97</v>
      </c>
      <c r="E20" s="58" t="s">
        <v>11</v>
      </c>
      <c r="F20" s="59" t="str">
        <f t="shared" si="0"/>
        <v>0008</v>
      </c>
      <c r="G20" s="60"/>
      <c r="H20" s="61">
        <v>104</v>
      </c>
      <c r="I20" s="61">
        <v>915</v>
      </c>
      <c r="J20" s="62">
        <f t="shared" si="1"/>
        <v>308.88</v>
      </c>
      <c r="K20" s="62">
        <f t="shared" si="2"/>
        <v>-811</v>
      </c>
      <c r="L20" s="62">
        <f t="shared" si="3"/>
        <v>-811</v>
      </c>
      <c r="M20" s="63">
        <f t="shared" si="4"/>
        <v>-2408.67</v>
      </c>
    </row>
    <row r="21" spans="1:13" s="64" customFormat="1" ht="16.5" customHeight="1" x14ac:dyDescent="0.2">
      <c r="A21" s="56" t="s">
        <v>181</v>
      </c>
      <c r="B21" s="56" t="s">
        <v>182</v>
      </c>
      <c r="C21" s="57" t="s">
        <v>16</v>
      </c>
      <c r="D21" s="58">
        <v>100.85</v>
      </c>
      <c r="E21" s="58" t="s">
        <v>11</v>
      </c>
      <c r="F21" s="59" t="str">
        <f t="shared" si="0"/>
        <v>0008</v>
      </c>
      <c r="G21" s="60"/>
      <c r="H21" s="61">
        <v>58</v>
      </c>
      <c r="I21" s="61">
        <v>35</v>
      </c>
      <c r="J21" s="62">
        <f t="shared" si="1"/>
        <v>5849.2999999999993</v>
      </c>
      <c r="K21" s="62">
        <f t="shared" si="2"/>
        <v>23</v>
      </c>
      <c r="L21" s="62">
        <f t="shared" si="3"/>
        <v>23</v>
      </c>
      <c r="M21" s="63">
        <f t="shared" si="4"/>
        <v>2319.5499999999997</v>
      </c>
    </row>
    <row r="22" spans="1:13" s="64" customFormat="1" ht="16.5" customHeight="1" x14ac:dyDescent="0.2">
      <c r="A22" s="56" t="s">
        <v>284</v>
      </c>
      <c r="B22" s="56" t="s">
        <v>285</v>
      </c>
      <c r="C22" s="57" t="s">
        <v>286</v>
      </c>
      <c r="D22" s="58">
        <v>19.5</v>
      </c>
      <c r="E22" s="58" t="s">
        <v>11</v>
      </c>
      <c r="F22" s="59" t="str">
        <f t="shared" si="0"/>
        <v>0008</v>
      </c>
      <c r="G22" s="60"/>
      <c r="H22" s="61">
        <v>391</v>
      </c>
      <c r="I22" s="61">
        <v>456</v>
      </c>
      <c r="J22" s="62">
        <f t="shared" si="1"/>
        <v>7624.5</v>
      </c>
      <c r="K22" s="62">
        <f t="shared" si="2"/>
        <v>-65</v>
      </c>
      <c r="L22" s="62">
        <f t="shared" si="3"/>
        <v>-65</v>
      </c>
      <c r="M22" s="63">
        <f t="shared" si="4"/>
        <v>-1267.5</v>
      </c>
    </row>
    <row r="23" spans="1:13" s="64" customFormat="1" ht="16.5" customHeight="1" x14ac:dyDescent="0.2">
      <c r="A23" s="56" t="s">
        <v>183</v>
      </c>
      <c r="B23" s="56" t="s">
        <v>184</v>
      </c>
      <c r="C23" s="57" t="s">
        <v>16</v>
      </c>
      <c r="D23" s="58">
        <v>101.56</v>
      </c>
      <c r="E23" s="58" t="s">
        <v>11</v>
      </c>
      <c r="F23" s="59" t="str">
        <f t="shared" si="0"/>
        <v>0008</v>
      </c>
      <c r="G23" s="60"/>
      <c r="H23" s="61">
        <v>8</v>
      </c>
      <c r="I23" s="61">
        <v>20</v>
      </c>
      <c r="J23" s="62">
        <f t="shared" si="1"/>
        <v>812.48</v>
      </c>
      <c r="K23" s="62">
        <f t="shared" si="2"/>
        <v>-12</v>
      </c>
      <c r="L23" s="62">
        <f t="shared" si="3"/>
        <v>-12</v>
      </c>
      <c r="M23" s="63">
        <f t="shared" si="4"/>
        <v>-1218.72</v>
      </c>
    </row>
    <row r="24" spans="1:13" s="64" customFormat="1" ht="16.5" customHeight="1" x14ac:dyDescent="0.2">
      <c r="A24" s="56" t="s">
        <v>246</v>
      </c>
      <c r="B24" s="56" t="s">
        <v>247</v>
      </c>
      <c r="C24" s="57" t="s">
        <v>248</v>
      </c>
      <c r="D24" s="58">
        <v>14.98</v>
      </c>
      <c r="E24" s="58" t="s">
        <v>11</v>
      </c>
      <c r="F24" s="59" t="str">
        <f t="shared" si="0"/>
        <v>0008</v>
      </c>
      <c r="G24" s="60"/>
      <c r="H24" s="61">
        <v>16</v>
      </c>
      <c r="I24" s="61">
        <v>96</v>
      </c>
      <c r="J24" s="62">
        <f t="shared" si="1"/>
        <v>239.68</v>
      </c>
      <c r="K24" s="62">
        <f t="shared" si="2"/>
        <v>-80</v>
      </c>
      <c r="L24" s="62">
        <f t="shared" si="3"/>
        <v>-80</v>
      </c>
      <c r="M24" s="63">
        <f t="shared" si="4"/>
        <v>-1198.4000000000001</v>
      </c>
    </row>
    <row r="25" spans="1:13" s="64" customFormat="1" ht="16.5" customHeight="1" x14ac:dyDescent="0.2">
      <c r="A25" s="65" t="s">
        <v>322</v>
      </c>
      <c r="B25" s="65" t="s">
        <v>323</v>
      </c>
      <c r="C25" s="66"/>
      <c r="D25" s="67">
        <v>45.12</v>
      </c>
      <c r="E25" s="67" t="s">
        <v>11</v>
      </c>
      <c r="F25" s="68" t="str">
        <f t="shared" si="0"/>
        <v>0008</v>
      </c>
      <c r="G25" s="69"/>
      <c r="H25" s="70">
        <v>24</v>
      </c>
      <c r="I25" s="70">
        <v>0</v>
      </c>
      <c r="J25" s="62">
        <f t="shared" si="1"/>
        <v>1082.8799999999999</v>
      </c>
      <c r="K25" s="62">
        <f t="shared" si="2"/>
        <v>24</v>
      </c>
      <c r="L25" s="62">
        <f t="shared" si="3"/>
        <v>24</v>
      </c>
      <c r="M25" s="63">
        <f t="shared" si="4"/>
        <v>1082.8799999999999</v>
      </c>
    </row>
    <row r="26" spans="1:13" s="64" customFormat="1" ht="16.5" customHeight="1" x14ac:dyDescent="0.2">
      <c r="A26" s="56" t="s">
        <v>23</v>
      </c>
      <c r="B26" s="56" t="s">
        <v>24</v>
      </c>
      <c r="C26" s="57" t="s">
        <v>249</v>
      </c>
      <c r="D26" s="58">
        <v>7.97</v>
      </c>
      <c r="E26" s="58" t="s">
        <v>11</v>
      </c>
      <c r="F26" s="59" t="str">
        <f t="shared" si="0"/>
        <v>0008</v>
      </c>
      <c r="G26" s="60"/>
      <c r="H26" s="61">
        <v>126</v>
      </c>
      <c r="I26" s="61">
        <v>259</v>
      </c>
      <c r="J26" s="62">
        <f t="shared" si="1"/>
        <v>1004.2199999999999</v>
      </c>
      <c r="K26" s="62">
        <f t="shared" si="2"/>
        <v>-133</v>
      </c>
      <c r="L26" s="62">
        <f t="shared" si="3"/>
        <v>-133</v>
      </c>
      <c r="M26" s="63">
        <f t="shared" si="4"/>
        <v>-1060.01</v>
      </c>
    </row>
    <row r="27" spans="1:13" s="64" customFormat="1" ht="16.5" customHeight="1" x14ac:dyDescent="0.2">
      <c r="A27" s="56" t="s">
        <v>173</v>
      </c>
      <c r="B27" s="56" t="s">
        <v>174</v>
      </c>
      <c r="C27" s="57" t="s">
        <v>16</v>
      </c>
      <c r="D27" s="58">
        <v>167.25</v>
      </c>
      <c r="E27" s="58" t="s">
        <v>11</v>
      </c>
      <c r="F27" s="59" t="str">
        <f t="shared" si="0"/>
        <v>0008</v>
      </c>
      <c r="G27" s="60"/>
      <c r="H27" s="61">
        <v>8</v>
      </c>
      <c r="I27" s="61">
        <v>13</v>
      </c>
      <c r="J27" s="62">
        <f t="shared" si="1"/>
        <v>1338</v>
      </c>
      <c r="K27" s="62">
        <f t="shared" si="2"/>
        <v>-5</v>
      </c>
      <c r="L27" s="62">
        <f t="shared" si="3"/>
        <v>-5</v>
      </c>
      <c r="M27" s="63">
        <f t="shared" si="4"/>
        <v>-836.25</v>
      </c>
    </row>
    <row r="28" spans="1:13" s="64" customFormat="1" ht="16.5" customHeight="1" x14ac:dyDescent="0.2">
      <c r="A28" s="56" t="s">
        <v>131</v>
      </c>
      <c r="B28" s="56" t="s">
        <v>130</v>
      </c>
      <c r="C28" s="57" t="s">
        <v>276</v>
      </c>
      <c r="D28" s="58">
        <v>10.210000000000001</v>
      </c>
      <c r="E28" s="58" t="s">
        <v>11</v>
      </c>
      <c r="F28" s="59" t="str">
        <f t="shared" si="0"/>
        <v>0008</v>
      </c>
      <c r="G28" s="60"/>
      <c r="H28" s="61">
        <v>0</v>
      </c>
      <c r="I28" s="61">
        <v>79</v>
      </c>
      <c r="J28" s="62">
        <f t="shared" si="1"/>
        <v>0</v>
      </c>
      <c r="K28" s="62">
        <f t="shared" si="2"/>
        <v>-79</v>
      </c>
      <c r="L28" s="62">
        <f t="shared" si="3"/>
        <v>-79</v>
      </c>
      <c r="M28" s="63">
        <f t="shared" si="4"/>
        <v>-806.59</v>
      </c>
    </row>
    <row r="29" spans="1:13" s="64" customFormat="1" ht="16.5" customHeight="1" x14ac:dyDescent="0.2">
      <c r="A29" s="56" t="s">
        <v>58</v>
      </c>
      <c r="B29" s="56" t="s">
        <v>59</v>
      </c>
      <c r="C29" s="57" t="s">
        <v>277</v>
      </c>
      <c r="D29" s="58">
        <v>10.46</v>
      </c>
      <c r="E29" s="58" t="s">
        <v>11</v>
      </c>
      <c r="F29" s="59" t="str">
        <f t="shared" si="0"/>
        <v>0008</v>
      </c>
      <c r="G29" s="60"/>
      <c r="H29" s="61">
        <v>0</v>
      </c>
      <c r="I29" s="61">
        <v>75</v>
      </c>
      <c r="J29" s="62">
        <f t="shared" si="1"/>
        <v>0</v>
      </c>
      <c r="K29" s="62">
        <f t="shared" si="2"/>
        <v>-75</v>
      </c>
      <c r="L29" s="62">
        <f t="shared" si="3"/>
        <v>-75</v>
      </c>
      <c r="M29" s="63">
        <f t="shared" si="4"/>
        <v>-784.50000000000011</v>
      </c>
    </row>
    <row r="30" spans="1:13" s="64" customFormat="1" ht="16.5" customHeight="1" x14ac:dyDescent="0.2">
      <c r="A30" s="56" t="s">
        <v>123</v>
      </c>
      <c r="B30" s="56" t="s">
        <v>124</v>
      </c>
      <c r="C30" s="57" t="s">
        <v>269</v>
      </c>
      <c r="D30" s="58">
        <v>7.73</v>
      </c>
      <c r="E30" s="58" t="s">
        <v>11</v>
      </c>
      <c r="F30" s="59" t="str">
        <f t="shared" si="0"/>
        <v>0008</v>
      </c>
      <c r="G30" s="60"/>
      <c r="H30" s="61">
        <v>610</v>
      </c>
      <c r="I30" s="61">
        <v>532</v>
      </c>
      <c r="J30" s="62">
        <f t="shared" si="1"/>
        <v>4715.3</v>
      </c>
      <c r="K30" s="62">
        <f t="shared" si="2"/>
        <v>78</v>
      </c>
      <c r="L30" s="62">
        <f t="shared" si="3"/>
        <v>78</v>
      </c>
      <c r="M30" s="63">
        <f t="shared" si="4"/>
        <v>602.94000000000005</v>
      </c>
    </row>
    <row r="31" spans="1:13" s="64" customFormat="1" ht="16.5" customHeight="1" x14ac:dyDescent="0.2">
      <c r="A31" s="56" t="s">
        <v>51</v>
      </c>
      <c r="B31" s="56" t="s">
        <v>52</v>
      </c>
      <c r="C31" s="57" t="s">
        <v>54</v>
      </c>
      <c r="D31" s="58">
        <v>7.04</v>
      </c>
      <c r="E31" s="58" t="s">
        <v>11</v>
      </c>
      <c r="F31" s="59" t="str">
        <f t="shared" si="0"/>
        <v>0008</v>
      </c>
      <c r="G31" s="60"/>
      <c r="H31" s="61">
        <v>30</v>
      </c>
      <c r="I31" s="61">
        <v>112</v>
      </c>
      <c r="J31" s="62">
        <f t="shared" si="1"/>
        <v>211.2</v>
      </c>
      <c r="K31" s="62">
        <f t="shared" si="2"/>
        <v>-82</v>
      </c>
      <c r="L31" s="62">
        <f t="shared" si="3"/>
        <v>-82</v>
      </c>
      <c r="M31" s="63">
        <f t="shared" si="4"/>
        <v>-577.28</v>
      </c>
    </row>
    <row r="32" spans="1:13" s="64" customFormat="1" ht="16.5" customHeight="1" x14ac:dyDescent="0.2">
      <c r="A32" s="56" t="s">
        <v>32</v>
      </c>
      <c r="B32" s="56" t="s">
        <v>33</v>
      </c>
      <c r="C32" s="57" t="s">
        <v>251</v>
      </c>
      <c r="D32" s="58">
        <v>3.03</v>
      </c>
      <c r="E32" s="58" t="s">
        <v>11</v>
      </c>
      <c r="F32" s="59" t="str">
        <f t="shared" si="0"/>
        <v>0008</v>
      </c>
      <c r="G32" s="60"/>
      <c r="H32" s="61">
        <v>0</v>
      </c>
      <c r="I32" s="61">
        <v>187</v>
      </c>
      <c r="J32" s="62">
        <f t="shared" si="1"/>
        <v>0</v>
      </c>
      <c r="K32" s="62">
        <f t="shared" si="2"/>
        <v>-187</v>
      </c>
      <c r="L32" s="62">
        <f t="shared" si="3"/>
        <v>-187</v>
      </c>
      <c r="M32" s="63">
        <f t="shared" si="4"/>
        <v>-566.61</v>
      </c>
    </row>
    <row r="33" spans="1:13" s="64" customFormat="1" ht="16.5" customHeight="1" x14ac:dyDescent="0.2">
      <c r="A33" s="56" t="s">
        <v>28</v>
      </c>
      <c r="B33" s="56" t="s">
        <v>29</v>
      </c>
      <c r="C33" s="57" t="s">
        <v>250</v>
      </c>
      <c r="D33" s="58">
        <v>3.28</v>
      </c>
      <c r="E33" s="58" t="s">
        <v>11</v>
      </c>
      <c r="F33" s="59" t="str">
        <f t="shared" si="0"/>
        <v>0008</v>
      </c>
      <c r="G33" s="60"/>
      <c r="H33" s="61">
        <v>0</v>
      </c>
      <c r="I33" s="61">
        <v>158</v>
      </c>
      <c r="J33" s="62">
        <f t="shared" si="1"/>
        <v>0</v>
      </c>
      <c r="K33" s="62">
        <f t="shared" si="2"/>
        <v>-158</v>
      </c>
      <c r="L33" s="62">
        <f t="shared" si="3"/>
        <v>-158</v>
      </c>
      <c r="M33" s="63">
        <f t="shared" si="4"/>
        <v>-518.24</v>
      </c>
    </row>
    <row r="34" spans="1:13" s="64" customFormat="1" ht="16.5" customHeight="1" x14ac:dyDescent="0.2">
      <c r="A34" s="56" t="s">
        <v>239</v>
      </c>
      <c r="B34" s="56" t="s">
        <v>240</v>
      </c>
      <c r="C34" s="57" t="s">
        <v>243</v>
      </c>
      <c r="D34" s="58">
        <v>26.36</v>
      </c>
      <c r="E34" s="58" t="s">
        <v>11</v>
      </c>
      <c r="F34" s="59" t="str">
        <f t="shared" si="0"/>
        <v>0008</v>
      </c>
      <c r="G34" s="60"/>
      <c r="H34" s="61">
        <v>0</v>
      </c>
      <c r="I34" s="61">
        <v>19</v>
      </c>
      <c r="J34" s="62">
        <f t="shared" si="1"/>
        <v>0</v>
      </c>
      <c r="K34" s="62">
        <f t="shared" si="2"/>
        <v>-19</v>
      </c>
      <c r="L34" s="62">
        <f t="shared" si="3"/>
        <v>-19</v>
      </c>
      <c r="M34" s="63">
        <f t="shared" si="4"/>
        <v>-500.84</v>
      </c>
    </row>
    <row r="35" spans="1:13" s="64" customFormat="1" ht="16.5" customHeight="1" x14ac:dyDescent="0.2">
      <c r="A35" s="65" t="s">
        <v>239</v>
      </c>
      <c r="B35" s="65" t="s">
        <v>240</v>
      </c>
      <c r="C35" s="66" t="s">
        <v>640</v>
      </c>
      <c r="D35" s="67">
        <v>26.36</v>
      </c>
      <c r="E35" s="67" t="s">
        <v>11</v>
      </c>
      <c r="F35" s="68" t="str">
        <f t="shared" si="0"/>
        <v>0008</v>
      </c>
      <c r="G35" s="69"/>
      <c r="H35" s="70">
        <v>19</v>
      </c>
      <c r="I35" s="70">
        <v>0</v>
      </c>
      <c r="J35" s="62">
        <f t="shared" si="1"/>
        <v>500.84</v>
      </c>
      <c r="K35" s="62">
        <f t="shared" si="2"/>
        <v>19</v>
      </c>
      <c r="L35" s="62">
        <f t="shared" si="3"/>
        <v>19</v>
      </c>
      <c r="M35" s="63">
        <f t="shared" si="4"/>
        <v>500.84</v>
      </c>
    </row>
    <row r="36" spans="1:13" s="64" customFormat="1" ht="16.5" customHeight="1" x14ac:dyDescent="0.2">
      <c r="A36" s="56" t="s">
        <v>175</v>
      </c>
      <c r="B36" s="56" t="s">
        <v>176</v>
      </c>
      <c r="C36" s="57" t="s">
        <v>16</v>
      </c>
      <c r="D36" s="58">
        <v>163.54</v>
      </c>
      <c r="E36" s="58" t="s">
        <v>11</v>
      </c>
      <c r="F36" s="59" t="str">
        <f t="shared" si="0"/>
        <v>0008</v>
      </c>
      <c r="G36" s="60"/>
      <c r="H36" s="61">
        <v>36</v>
      </c>
      <c r="I36" s="61">
        <v>33</v>
      </c>
      <c r="J36" s="62">
        <f t="shared" si="1"/>
        <v>5887.44</v>
      </c>
      <c r="K36" s="62">
        <f t="shared" si="2"/>
        <v>3</v>
      </c>
      <c r="L36" s="62">
        <f t="shared" si="3"/>
        <v>3</v>
      </c>
      <c r="M36" s="63">
        <f t="shared" si="4"/>
        <v>490.62</v>
      </c>
    </row>
    <row r="37" spans="1:13" s="64" customFormat="1" ht="16.5" customHeight="1" x14ac:dyDescent="0.2">
      <c r="A37" s="56" t="s">
        <v>25</v>
      </c>
      <c r="B37" s="56" t="s">
        <v>26</v>
      </c>
      <c r="C37" s="57" t="s">
        <v>101</v>
      </c>
      <c r="D37" s="58">
        <v>6.78</v>
      </c>
      <c r="E37" s="58" t="s">
        <v>11</v>
      </c>
      <c r="F37" s="59" t="str">
        <f t="shared" si="0"/>
        <v>0008</v>
      </c>
      <c r="G37" s="60"/>
      <c r="H37" s="61">
        <v>415</v>
      </c>
      <c r="I37" s="61">
        <v>487</v>
      </c>
      <c r="J37" s="62">
        <f t="shared" si="1"/>
        <v>2813.7000000000003</v>
      </c>
      <c r="K37" s="62">
        <f t="shared" si="2"/>
        <v>-72</v>
      </c>
      <c r="L37" s="62">
        <f t="shared" si="3"/>
        <v>-72</v>
      </c>
      <c r="M37" s="63">
        <f t="shared" si="4"/>
        <v>-488.16</v>
      </c>
    </row>
    <row r="38" spans="1:13" s="64" customFormat="1" ht="16.5" customHeight="1" x14ac:dyDescent="0.2">
      <c r="A38" s="56" t="s">
        <v>123</v>
      </c>
      <c r="B38" s="56" t="s">
        <v>124</v>
      </c>
      <c r="C38" s="57" t="s">
        <v>268</v>
      </c>
      <c r="D38" s="58">
        <v>7.73</v>
      </c>
      <c r="E38" s="58" t="s">
        <v>11</v>
      </c>
      <c r="F38" s="59" t="str">
        <f t="shared" si="0"/>
        <v>0008</v>
      </c>
      <c r="G38" s="60"/>
      <c r="H38" s="61">
        <v>0</v>
      </c>
      <c r="I38" s="61">
        <v>60</v>
      </c>
      <c r="J38" s="62">
        <f t="shared" si="1"/>
        <v>0</v>
      </c>
      <c r="K38" s="62">
        <f t="shared" si="2"/>
        <v>-60</v>
      </c>
      <c r="L38" s="62">
        <f t="shared" si="3"/>
        <v>-60</v>
      </c>
      <c r="M38" s="63">
        <f t="shared" si="4"/>
        <v>-463.8</v>
      </c>
    </row>
    <row r="39" spans="1:13" s="64" customFormat="1" ht="16.5" customHeight="1" x14ac:dyDescent="0.2">
      <c r="A39" s="65" t="s">
        <v>239</v>
      </c>
      <c r="B39" s="65" t="s">
        <v>240</v>
      </c>
      <c r="C39" s="66" t="s">
        <v>639</v>
      </c>
      <c r="D39" s="67">
        <v>26.36</v>
      </c>
      <c r="E39" s="67" t="s">
        <v>11</v>
      </c>
      <c r="F39" s="68" t="str">
        <f t="shared" si="0"/>
        <v>0008</v>
      </c>
      <c r="G39" s="69"/>
      <c r="H39" s="70">
        <v>17</v>
      </c>
      <c r="I39" s="70">
        <v>0</v>
      </c>
      <c r="J39" s="62">
        <f t="shared" si="1"/>
        <v>448.12</v>
      </c>
      <c r="K39" s="62">
        <f t="shared" si="2"/>
        <v>17</v>
      </c>
      <c r="L39" s="62">
        <f t="shared" si="3"/>
        <v>17</v>
      </c>
      <c r="M39" s="63">
        <f t="shared" si="4"/>
        <v>448.12</v>
      </c>
    </row>
    <row r="40" spans="1:13" s="64" customFormat="1" ht="16.5" customHeight="1" x14ac:dyDescent="0.2">
      <c r="A40" s="56" t="s">
        <v>171</v>
      </c>
      <c r="B40" s="56" t="s">
        <v>172</v>
      </c>
      <c r="C40" s="57"/>
      <c r="D40" s="58">
        <v>47.26</v>
      </c>
      <c r="E40" s="58" t="s">
        <v>11</v>
      </c>
      <c r="F40" s="59" t="str">
        <f t="shared" si="0"/>
        <v>0008</v>
      </c>
      <c r="G40" s="60"/>
      <c r="H40" s="61">
        <v>2</v>
      </c>
      <c r="I40" s="61">
        <v>10</v>
      </c>
      <c r="J40" s="62">
        <f t="shared" si="1"/>
        <v>94.52</v>
      </c>
      <c r="K40" s="62">
        <f t="shared" si="2"/>
        <v>-8</v>
      </c>
      <c r="L40" s="62">
        <f t="shared" si="3"/>
        <v>-8</v>
      </c>
      <c r="M40" s="63">
        <f t="shared" si="4"/>
        <v>-378.08</v>
      </c>
    </row>
    <row r="41" spans="1:13" s="64" customFormat="1" ht="16.5" customHeight="1" x14ac:dyDescent="0.2">
      <c r="A41" s="65" t="s">
        <v>35</v>
      </c>
      <c r="B41" s="65" t="s">
        <v>36</v>
      </c>
      <c r="C41" s="66" t="s">
        <v>523</v>
      </c>
      <c r="D41" s="67">
        <v>2.97</v>
      </c>
      <c r="E41" s="67" t="s">
        <v>11</v>
      </c>
      <c r="F41" s="68" t="str">
        <f t="shared" ref="F41:F72" si="5">+$M$3</f>
        <v>0008</v>
      </c>
      <c r="G41" s="69"/>
      <c r="H41" s="70">
        <v>111</v>
      </c>
      <c r="I41" s="70">
        <v>0</v>
      </c>
      <c r="J41" s="62">
        <f t="shared" ref="J41:J72" si="6">D41*H41</f>
        <v>329.67</v>
      </c>
      <c r="K41" s="62">
        <f t="shared" ref="K41:K72" si="7">H41-I41</f>
        <v>111</v>
      </c>
      <c r="L41" s="62">
        <f t="shared" ref="L41:L72" si="8">H41-I41</f>
        <v>111</v>
      </c>
      <c r="M41" s="63">
        <f t="shared" ref="M41:M72" si="9">L41*D41</f>
        <v>329.67</v>
      </c>
    </row>
    <row r="42" spans="1:13" s="64" customFormat="1" ht="16.5" customHeight="1" x14ac:dyDescent="0.2">
      <c r="A42" s="56" t="s">
        <v>126</v>
      </c>
      <c r="B42" s="56" t="s">
        <v>127</v>
      </c>
      <c r="C42" s="57" t="s">
        <v>273</v>
      </c>
      <c r="D42" s="58">
        <v>3.03</v>
      </c>
      <c r="E42" s="58" t="s">
        <v>11</v>
      </c>
      <c r="F42" s="59" t="str">
        <f t="shared" si="5"/>
        <v>0008</v>
      </c>
      <c r="G42" s="60"/>
      <c r="H42" s="61">
        <v>41</v>
      </c>
      <c r="I42" s="61">
        <v>145</v>
      </c>
      <c r="J42" s="62">
        <f t="shared" si="6"/>
        <v>124.22999999999999</v>
      </c>
      <c r="K42" s="62">
        <f t="shared" si="7"/>
        <v>-104</v>
      </c>
      <c r="L42" s="62">
        <f t="shared" si="8"/>
        <v>-104</v>
      </c>
      <c r="M42" s="63">
        <f t="shared" si="9"/>
        <v>-315.12</v>
      </c>
    </row>
    <row r="43" spans="1:13" s="64" customFormat="1" ht="16.5" customHeight="1" x14ac:dyDescent="0.2">
      <c r="A43" s="65" t="s">
        <v>239</v>
      </c>
      <c r="B43" s="65" t="s">
        <v>240</v>
      </c>
      <c r="C43" s="66" t="s">
        <v>642</v>
      </c>
      <c r="D43" s="67">
        <v>26.36</v>
      </c>
      <c r="E43" s="67" t="s">
        <v>11</v>
      </c>
      <c r="F43" s="68" t="str">
        <f t="shared" si="5"/>
        <v>0008</v>
      </c>
      <c r="G43" s="69"/>
      <c r="H43" s="70">
        <v>11</v>
      </c>
      <c r="I43" s="70">
        <v>0</v>
      </c>
      <c r="J43" s="62">
        <f t="shared" si="6"/>
        <v>289.95999999999998</v>
      </c>
      <c r="K43" s="62">
        <f t="shared" si="7"/>
        <v>11</v>
      </c>
      <c r="L43" s="62">
        <f t="shared" si="8"/>
        <v>11</v>
      </c>
      <c r="M43" s="63">
        <f t="shared" si="9"/>
        <v>289.95999999999998</v>
      </c>
    </row>
    <row r="44" spans="1:13" s="64" customFormat="1" ht="16.5" customHeight="1" x14ac:dyDescent="0.2">
      <c r="A44" s="65" t="s">
        <v>232</v>
      </c>
      <c r="B44" s="65" t="s">
        <v>233</v>
      </c>
      <c r="C44" s="66" t="s">
        <v>487</v>
      </c>
      <c r="D44" s="67">
        <v>27.68</v>
      </c>
      <c r="E44" s="67" t="s">
        <v>11</v>
      </c>
      <c r="F44" s="68" t="str">
        <f t="shared" si="5"/>
        <v>0008</v>
      </c>
      <c r="G44" s="69"/>
      <c r="H44" s="70">
        <v>10</v>
      </c>
      <c r="I44" s="70">
        <v>0</v>
      </c>
      <c r="J44" s="62">
        <f t="shared" si="6"/>
        <v>276.8</v>
      </c>
      <c r="K44" s="62">
        <f t="shared" si="7"/>
        <v>10</v>
      </c>
      <c r="L44" s="62">
        <f t="shared" si="8"/>
        <v>10</v>
      </c>
      <c r="M44" s="63">
        <f t="shared" si="9"/>
        <v>276.8</v>
      </c>
    </row>
    <row r="45" spans="1:13" s="64" customFormat="1" ht="16.5" customHeight="1" x14ac:dyDescent="0.2">
      <c r="A45" s="56" t="s">
        <v>287</v>
      </c>
      <c r="B45" s="56" t="s">
        <v>288</v>
      </c>
      <c r="C45" s="57" t="s">
        <v>289</v>
      </c>
      <c r="D45" s="58">
        <v>4.0599999999999996</v>
      </c>
      <c r="E45" s="58" t="s">
        <v>11</v>
      </c>
      <c r="F45" s="59" t="str">
        <f t="shared" si="5"/>
        <v>0008</v>
      </c>
      <c r="G45" s="60"/>
      <c r="H45" s="61">
        <v>0</v>
      </c>
      <c r="I45" s="61">
        <v>68</v>
      </c>
      <c r="J45" s="62">
        <f t="shared" si="6"/>
        <v>0</v>
      </c>
      <c r="K45" s="62">
        <f t="shared" si="7"/>
        <v>-68</v>
      </c>
      <c r="L45" s="62">
        <f t="shared" si="8"/>
        <v>-68</v>
      </c>
      <c r="M45" s="63">
        <f t="shared" si="9"/>
        <v>-276.08</v>
      </c>
    </row>
    <row r="46" spans="1:13" s="64" customFormat="1" ht="16.5" customHeight="1" x14ac:dyDescent="0.2">
      <c r="A46" s="65" t="s">
        <v>25</v>
      </c>
      <c r="B46" s="65" t="s">
        <v>26</v>
      </c>
      <c r="C46" s="66" t="s">
        <v>100</v>
      </c>
      <c r="D46" s="67">
        <v>6.78</v>
      </c>
      <c r="E46" s="67" t="s">
        <v>11</v>
      </c>
      <c r="F46" s="68" t="str">
        <f t="shared" si="5"/>
        <v>0008</v>
      </c>
      <c r="G46" s="69"/>
      <c r="H46" s="70">
        <v>40</v>
      </c>
      <c r="I46" s="70">
        <v>0</v>
      </c>
      <c r="J46" s="62">
        <f t="shared" si="6"/>
        <v>271.2</v>
      </c>
      <c r="K46" s="62">
        <f t="shared" si="7"/>
        <v>40</v>
      </c>
      <c r="L46" s="62">
        <f t="shared" si="8"/>
        <v>40</v>
      </c>
      <c r="M46" s="63">
        <f t="shared" si="9"/>
        <v>271.2</v>
      </c>
    </row>
    <row r="47" spans="1:13" s="64" customFormat="1" ht="16.5" customHeight="1" x14ac:dyDescent="0.2">
      <c r="A47" s="56" t="s">
        <v>49</v>
      </c>
      <c r="B47" s="56" t="s">
        <v>50</v>
      </c>
      <c r="C47" s="57" t="s">
        <v>258</v>
      </c>
      <c r="D47" s="58">
        <v>21.81</v>
      </c>
      <c r="E47" s="58" t="s">
        <v>11</v>
      </c>
      <c r="F47" s="59" t="str">
        <f t="shared" si="5"/>
        <v>0008</v>
      </c>
      <c r="G47" s="60"/>
      <c r="H47" s="61">
        <v>132</v>
      </c>
      <c r="I47" s="61">
        <v>120</v>
      </c>
      <c r="J47" s="62">
        <f t="shared" si="6"/>
        <v>2878.9199999999996</v>
      </c>
      <c r="K47" s="62">
        <f t="shared" si="7"/>
        <v>12</v>
      </c>
      <c r="L47" s="62">
        <f t="shared" si="8"/>
        <v>12</v>
      </c>
      <c r="M47" s="63">
        <f t="shared" si="9"/>
        <v>261.71999999999997</v>
      </c>
    </row>
    <row r="48" spans="1:13" s="64" customFormat="1" ht="16.5" customHeight="1" x14ac:dyDescent="0.2">
      <c r="A48" s="56" t="s">
        <v>239</v>
      </c>
      <c r="B48" s="56" t="s">
        <v>240</v>
      </c>
      <c r="C48" s="57" t="s">
        <v>242</v>
      </c>
      <c r="D48" s="58">
        <v>26.36</v>
      </c>
      <c r="E48" s="58" t="s">
        <v>11</v>
      </c>
      <c r="F48" s="59" t="str">
        <f t="shared" si="5"/>
        <v>0008</v>
      </c>
      <c r="G48" s="60"/>
      <c r="H48" s="61">
        <v>12</v>
      </c>
      <c r="I48" s="61">
        <v>4</v>
      </c>
      <c r="J48" s="62">
        <f t="shared" si="6"/>
        <v>316.32</v>
      </c>
      <c r="K48" s="62">
        <f t="shared" si="7"/>
        <v>8</v>
      </c>
      <c r="L48" s="62">
        <f t="shared" si="8"/>
        <v>8</v>
      </c>
      <c r="M48" s="63">
        <f t="shared" si="9"/>
        <v>210.88</v>
      </c>
    </row>
    <row r="49" spans="1:13" s="64" customFormat="1" ht="16.5" customHeight="1" x14ac:dyDescent="0.2">
      <c r="A49" s="56" t="s">
        <v>131</v>
      </c>
      <c r="B49" s="56" t="s">
        <v>130</v>
      </c>
      <c r="C49" s="57" t="s">
        <v>275</v>
      </c>
      <c r="D49" s="58">
        <v>10.210000000000001</v>
      </c>
      <c r="E49" s="58" t="s">
        <v>11</v>
      </c>
      <c r="F49" s="59" t="str">
        <f t="shared" si="5"/>
        <v>0008</v>
      </c>
      <c r="G49" s="60"/>
      <c r="H49" s="61">
        <v>0</v>
      </c>
      <c r="I49" s="61">
        <v>19</v>
      </c>
      <c r="J49" s="62">
        <f t="shared" si="6"/>
        <v>0</v>
      </c>
      <c r="K49" s="62">
        <f t="shared" si="7"/>
        <v>-19</v>
      </c>
      <c r="L49" s="62">
        <f t="shared" si="8"/>
        <v>-19</v>
      </c>
      <c r="M49" s="63">
        <f t="shared" si="9"/>
        <v>-193.99</v>
      </c>
    </row>
    <row r="50" spans="1:13" s="64" customFormat="1" ht="16.5" customHeight="1" x14ac:dyDescent="0.2">
      <c r="A50" s="56" t="s">
        <v>239</v>
      </c>
      <c r="B50" s="56" t="s">
        <v>240</v>
      </c>
      <c r="C50" s="57" t="s">
        <v>241</v>
      </c>
      <c r="D50" s="58">
        <v>26.36</v>
      </c>
      <c r="E50" s="58" t="s">
        <v>11</v>
      </c>
      <c r="F50" s="59" t="str">
        <f t="shared" si="5"/>
        <v>0008</v>
      </c>
      <c r="G50" s="60"/>
      <c r="H50" s="61">
        <v>15</v>
      </c>
      <c r="I50" s="61">
        <v>22</v>
      </c>
      <c r="J50" s="62">
        <f t="shared" si="6"/>
        <v>395.4</v>
      </c>
      <c r="K50" s="62">
        <f t="shared" si="7"/>
        <v>-7</v>
      </c>
      <c r="L50" s="62">
        <f t="shared" si="8"/>
        <v>-7</v>
      </c>
      <c r="M50" s="63">
        <f t="shared" si="9"/>
        <v>-184.51999999999998</v>
      </c>
    </row>
    <row r="51" spans="1:13" s="64" customFormat="1" ht="16.5" customHeight="1" x14ac:dyDescent="0.2">
      <c r="A51" s="56" t="s">
        <v>210</v>
      </c>
      <c r="B51" s="56" t="s">
        <v>211</v>
      </c>
      <c r="C51" s="57" t="s">
        <v>212</v>
      </c>
      <c r="D51" s="58">
        <v>29.48</v>
      </c>
      <c r="E51" s="58" t="s">
        <v>11</v>
      </c>
      <c r="F51" s="59" t="str">
        <f t="shared" si="5"/>
        <v>0008</v>
      </c>
      <c r="G51" s="60"/>
      <c r="H51" s="61">
        <v>18</v>
      </c>
      <c r="I51" s="61">
        <v>12</v>
      </c>
      <c r="J51" s="62">
        <f t="shared" si="6"/>
        <v>530.64</v>
      </c>
      <c r="K51" s="62">
        <f t="shared" si="7"/>
        <v>6</v>
      </c>
      <c r="L51" s="62">
        <f t="shared" si="8"/>
        <v>6</v>
      </c>
      <c r="M51" s="63">
        <f t="shared" si="9"/>
        <v>176.88</v>
      </c>
    </row>
    <row r="52" spans="1:13" s="64" customFormat="1" ht="16.5" customHeight="1" x14ac:dyDescent="0.2">
      <c r="A52" s="56" t="s">
        <v>58</v>
      </c>
      <c r="B52" s="56" t="s">
        <v>59</v>
      </c>
      <c r="C52" s="57" t="s">
        <v>132</v>
      </c>
      <c r="D52" s="58">
        <v>10.46</v>
      </c>
      <c r="E52" s="58" t="s">
        <v>11</v>
      </c>
      <c r="F52" s="59" t="str">
        <f t="shared" si="5"/>
        <v>0008</v>
      </c>
      <c r="G52" s="60"/>
      <c r="H52" s="61">
        <v>0</v>
      </c>
      <c r="I52" s="61">
        <v>15</v>
      </c>
      <c r="J52" s="62">
        <f t="shared" si="6"/>
        <v>0</v>
      </c>
      <c r="K52" s="62">
        <f t="shared" si="7"/>
        <v>-15</v>
      </c>
      <c r="L52" s="62">
        <f t="shared" si="8"/>
        <v>-15</v>
      </c>
      <c r="M52" s="63">
        <f t="shared" si="9"/>
        <v>-156.9</v>
      </c>
    </row>
    <row r="53" spans="1:13" s="64" customFormat="1" ht="16.5" customHeight="1" x14ac:dyDescent="0.2">
      <c r="A53" s="56" t="s">
        <v>260</v>
      </c>
      <c r="B53" s="56" t="s">
        <v>261</v>
      </c>
      <c r="C53" s="57" t="s">
        <v>262</v>
      </c>
      <c r="D53" s="58">
        <v>3.1</v>
      </c>
      <c r="E53" s="58" t="s">
        <v>11</v>
      </c>
      <c r="F53" s="59" t="str">
        <f t="shared" si="5"/>
        <v>0008</v>
      </c>
      <c r="G53" s="60"/>
      <c r="H53" s="61">
        <v>0</v>
      </c>
      <c r="I53" s="61">
        <v>46</v>
      </c>
      <c r="J53" s="62">
        <f t="shared" si="6"/>
        <v>0</v>
      </c>
      <c r="K53" s="62">
        <f t="shared" si="7"/>
        <v>-46</v>
      </c>
      <c r="L53" s="62">
        <f t="shared" si="8"/>
        <v>-46</v>
      </c>
      <c r="M53" s="63">
        <f t="shared" si="9"/>
        <v>-142.6</v>
      </c>
    </row>
    <row r="54" spans="1:13" s="64" customFormat="1" ht="16.5" customHeight="1" x14ac:dyDescent="0.2">
      <c r="A54" s="56" t="s">
        <v>232</v>
      </c>
      <c r="B54" s="56" t="s">
        <v>233</v>
      </c>
      <c r="C54" s="57" t="s">
        <v>234</v>
      </c>
      <c r="D54" s="58">
        <v>27.68</v>
      </c>
      <c r="E54" s="58" t="s">
        <v>11</v>
      </c>
      <c r="F54" s="59" t="str">
        <f t="shared" si="5"/>
        <v>0008</v>
      </c>
      <c r="G54" s="60"/>
      <c r="H54" s="61">
        <v>24</v>
      </c>
      <c r="I54" s="61">
        <v>29</v>
      </c>
      <c r="J54" s="62">
        <f t="shared" si="6"/>
        <v>664.31999999999994</v>
      </c>
      <c r="K54" s="62">
        <f t="shared" si="7"/>
        <v>-5</v>
      </c>
      <c r="L54" s="62">
        <f t="shared" si="8"/>
        <v>-5</v>
      </c>
      <c r="M54" s="63">
        <f t="shared" si="9"/>
        <v>-138.4</v>
      </c>
    </row>
    <row r="55" spans="1:13" s="64" customFormat="1" ht="16.5" customHeight="1" x14ac:dyDescent="0.2">
      <c r="A55" s="65" t="s">
        <v>23</v>
      </c>
      <c r="B55" s="65" t="s">
        <v>24</v>
      </c>
      <c r="C55" s="66" t="s">
        <v>646</v>
      </c>
      <c r="D55" s="67">
        <v>7.97</v>
      </c>
      <c r="E55" s="67" t="s">
        <v>11</v>
      </c>
      <c r="F55" s="68" t="str">
        <f t="shared" si="5"/>
        <v>0008</v>
      </c>
      <c r="G55" s="69"/>
      <c r="H55" s="70">
        <v>16</v>
      </c>
      <c r="I55" s="70">
        <v>0</v>
      </c>
      <c r="J55" s="62">
        <f t="shared" si="6"/>
        <v>127.52</v>
      </c>
      <c r="K55" s="62">
        <f t="shared" si="7"/>
        <v>16</v>
      </c>
      <c r="L55" s="62">
        <f t="shared" si="8"/>
        <v>16</v>
      </c>
      <c r="M55" s="63">
        <f t="shared" si="9"/>
        <v>127.52</v>
      </c>
    </row>
    <row r="56" spans="1:13" s="64" customFormat="1" ht="16.5" customHeight="1" x14ac:dyDescent="0.2">
      <c r="A56" s="56" t="s">
        <v>179</v>
      </c>
      <c r="B56" s="56" t="s">
        <v>180</v>
      </c>
      <c r="C56" s="57" t="s">
        <v>16</v>
      </c>
      <c r="D56" s="58">
        <v>101.35</v>
      </c>
      <c r="E56" s="58" t="s">
        <v>11</v>
      </c>
      <c r="F56" s="59" t="str">
        <f t="shared" si="5"/>
        <v>0008</v>
      </c>
      <c r="G56" s="60"/>
      <c r="H56" s="61">
        <v>15</v>
      </c>
      <c r="I56" s="61">
        <v>16</v>
      </c>
      <c r="J56" s="62">
        <f t="shared" si="6"/>
        <v>1520.25</v>
      </c>
      <c r="K56" s="62">
        <f t="shared" si="7"/>
        <v>-1</v>
      </c>
      <c r="L56" s="62">
        <f t="shared" si="8"/>
        <v>-1</v>
      </c>
      <c r="M56" s="63">
        <f t="shared" si="9"/>
        <v>-101.35</v>
      </c>
    </row>
    <row r="57" spans="1:13" s="64" customFormat="1" ht="16.5" customHeight="1" x14ac:dyDescent="0.2">
      <c r="A57" s="56" t="s">
        <v>193</v>
      </c>
      <c r="B57" s="56" t="s">
        <v>194</v>
      </c>
      <c r="C57" s="57" t="s">
        <v>16</v>
      </c>
      <c r="D57" s="58">
        <v>101.19</v>
      </c>
      <c r="E57" s="58" t="s">
        <v>11</v>
      </c>
      <c r="F57" s="59" t="str">
        <f t="shared" si="5"/>
        <v>0008</v>
      </c>
      <c r="G57" s="60"/>
      <c r="H57" s="61">
        <v>5</v>
      </c>
      <c r="I57" s="61">
        <v>4</v>
      </c>
      <c r="J57" s="62">
        <f t="shared" si="6"/>
        <v>505.95</v>
      </c>
      <c r="K57" s="62">
        <f t="shared" si="7"/>
        <v>1</v>
      </c>
      <c r="L57" s="62">
        <f t="shared" si="8"/>
        <v>1</v>
      </c>
      <c r="M57" s="63">
        <f t="shared" si="9"/>
        <v>101.19</v>
      </c>
    </row>
    <row r="58" spans="1:13" s="64" customFormat="1" ht="16.5" customHeight="1" x14ac:dyDescent="0.2">
      <c r="A58" s="56" t="s">
        <v>40</v>
      </c>
      <c r="B58" s="56" t="s">
        <v>41</v>
      </c>
      <c r="C58" s="57" t="s">
        <v>254</v>
      </c>
      <c r="D58" s="58">
        <v>2.91</v>
      </c>
      <c r="E58" s="58" t="s">
        <v>11</v>
      </c>
      <c r="F58" s="59" t="str">
        <f t="shared" si="5"/>
        <v>0008</v>
      </c>
      <c r="G58" s="60"/>
      <c r="H58" s="61">
        <v>193</v>
      </c>
      <c r="I58" s="61">
        <v>227</v>
      </c>
      <c r="J58" s="62">
        <f t="shared" si="6"/>
        <v>561.63</v>
      </c>
      <c r="K58" s="62">
        <f t="shared" si="7"/>
        <v>-34</v>
      </c>
      <c r="L58" s="62">
        <f t="shared" si="8"/>
        <v>-34</v>
      </c>
      <c r="M58" s="63">
        <f t="shared" si="9"/>
        <v>-98.94</v>
      </c>
    </row>
    <row r="59" spans="1:13" s="64" customFormat="1" ht="16.5" customHeight="1" x14ac:dyDescent="0.2">
      <c r="A59" s="56" t="s">
        <v>134</v>
      </c>
      <c r="B59" s="56" t="s">
        <v>135</v>
      </c>
      <c r="C59" s="57" t="s">
        <v>283</v>
      </c>
      <c r="D59" s="58">
        <v>19.7</v>
      </c>
      <c r="E59" s="58" t="s">
        <v>11</v>
      </c>
      <c r="F59" s="59" t="str">
        <f t="shared" si="5"/>
        <v>0008</v>
      </c>
      <c r="G59" s="60"/>
      <c r="H59" s="61">
        <v>0</v>
      </c>
      <c r="I59" s="61">
        <v>5</v>
      </c>
      <c r="J59" s="62">
        <f t="shared" si="6"/>
        <v>0</v>
      </c>
      <c r="K59" s="62">
        <f t="shared" si="7"/>
        <v>-5</v>
      </c>
      <c r="L59" s="62">
        <f t="shared" si="8"/>
        <v>-5</v>
      </c>
      <c r="M59" s="63">
        <f t="shared" si="9"/>
        <v>-98.5</v>
      </c>
    </row>
    <row r="60" spans="1:13" s="64" customFormat="1" ht="16.5" customHeight="1" x14ac:dyDescent="0.2">
      <c r="A60" s="56" t="s">
        <v>38</v>
      </c>
      <c r="B60" s="56" t="s">
        <v>39</v>
      </c>
      <c r="C60" s="57" t="s">
        <v>253</v>
      </c>
      <c r="D60" s="58">
        <v>2.95</v>
      </c>
      <c r="E60" s="58" t="s">
        <v>11</v>
      </c>
      <c r="F60" s="59" t="str">
        <f t="shared" si="5"/>
        <v>0008</v>
      </c>
      <c r="G60" s="60"/>
      <c r="H60" s="61">
        <v>170</v>
      </c>
      <c r="I60" s="61">
        <v>138</v>
      </c>
      <c r="J60" s="62">
        <f t="shared" si="6"/>
        <v>501.50000000000006</v>
      </c>
      <c r="K60" s="62">
        <f t="shared" si="7"/>
        <v>32</v>
      </c>
      <c r="L60" s="62">
        <f t="shared" si="8"/>
        <v>32</v>
      </c>
      <c r="M60" s="63">
        <f t="shared" si="9"/>
        <v>94.4</v>
      </c>
    </row>
    <row r="61" spans="1:13" s="64" customFormat="1" ht="16.5" customHeight="1" x14ac:dyDescent="0.2">
      <c r="A61" s="65" t="s">
        <v>28</v>
      </c>
      <c r="B61" s="65" t="s">
        <v>29</v>
      </c>
      <c r="C61" s="66" t="s">
        <v>513</v>
      </c>
      <c r="D61" s="67">
        <v>3.28</v>
      </c>
      <c r="E61" s="67" t="s">
        <v>11</v>
      </c>
      <c r="F61" s="68" t="str">
        <f t="shared" si="5"/>
        <v>0008</v>
      </c>
      <c r="G61" s="69"/>
      <c r="H61" s="70">
        <v>26</v>
      </c>
      <c r="I61" s="70">
        <v>0</v>
      </c>
      <c r="J61" s="62">
        <f t="shared" si="6"/>
        <v>85.28</v>
      </c>
      <c r="K61" s="62">
        <f t="shared" si="7"/>
        <v>26</v>
      </c>
      <c r="L61" s="62">
        <f t="shared" si="8"/>
        <v>26</v>
      </c>
      <c r="M61" s="63">
        <f t="shared" si="9"/>
        <v>85.28</v>
      </c>
    </row>
    <row r="62" spans="1:13" s="64" customFormat="1" ht="16.5" customHeight="1" x14ac:dyDescent="0.2">
      <c r="A62" s="56" t="s">
        <v>58</v>
      </c>
      <c r="B62" s="56" t="s">
        <v>59</v>
      </c>
      <c r="C62" s="57" t="s">
        <v>278</v>
      </c>
      <c r="D62" s="58">
        <v>10.46</v>
      </c>
      <c r="E62" s="58" t="s">
        <v>11</v>
      </c>
      <c r="F62" s="59" t="str">
        <f t="shared" si="5"/>
        <v>0008</v>
      </c>
      <c r="G62" s="60"/>
      <c r="H62" s="61">
        <v>0</v>
      </c>
      <c r="I62" s="61">
        <v>8</v>
      </c>
      <c r="J62" s="62">
        <f t="shared" si="6"/>
        <v>0</v>
      </c>
      <c r="K62" s="62">
        <f t="shared" si="7"/>
        <v>-8</v>
      </c>
      <c r="L62" s="62">
        <f t="shared" si="8"/>
        <v>-8</v>
      </c>
      <c r="M62" s="63">
        <f t="shared" si="9"/>
        <v>-83.68</v>
      </c>
    </row>
    <row r="63" spans="1:13" s="64" customFormat="1" ht="16.5" customHeight="1" x14ac:dyDescent="0.2">
      <c r="A63" s="65" t="s">
        <v>23</v>
      </c>
      <c r="B63" s="65" t="s">
        <v>24</v>
      </c>
      <c r="C63" s="66" t="s">
        <v>96</v>
      </c>
      <c r="D63" s="67">
        <v>7.97</v>
      </c>
      <c r="E63" s="67" t="s">
        <v>11</v>
      </c>
      <c r="F63" s="68" t="str">
        <f t="shared" si="5"/>
        <v>0008</v>
      </c>
      <c r="G63" s="69"/>
      <c r="H63" s="70">
        <v>7</v>
      </c>
      <c r="I63" s="70">
        <v>0</v>
      </c>
      <c r="J63" s="62">
        <f t="shared" si="6"/>
        <v>55.79</v>
      </c>
      <c r="K63" s="62">
        <f t="shared" si="7"/>
        <v>7</v>
      </c>
      <c r="L63" s="62">
        <f t="shared" si="8"/>
        <v>7</v>
      </c>
      <c r="M63" s="63">
        <f t="shared" si="9"/>
        <v>55.79</v>
      </c>
    </row>
    <row r="64" spans="1:13" s="64" customFormat="1" ht="16.5" customHeight="1" x14ac:dyDescent="0.2">
      <c r="A64" s="56" t="s">
        <v>239</v>
      </c>
      <c r="B64" s="56" t="s">
        <v>240</v>
      </c>
      <c r="C64" s="57" t="s">
        <v>244</v>
      </c>
      <c r="D64" s="58">
        <v>26.36</v>
      </c>
      <c r="E64" s="58" t="s">
        <v>11</v>
      </c>
      <c r="F64" s="59" t="str">
        <f t="shared" si="5"/>
        <v>0008</v>
      </c>
      <c r="G64" s="60"/>
      <c r="H64" s="61">
        <v>11</v>
      </c>
      <c r="I64" s="61">
        <v>9</v>
      </c>
      <c r="J64" s="62">
        <f t="shared" si="6"/>
        <v>289.95999999999998</v>
      </c>
      <c r="K64" s="62">
        <f t="shared" si="7"/>
        <v>2</v>
      </c>
      <c r="L64" s="62">
        <f t="shared" si="8"/>
        <v>2</v>
      </c>
      <c r="M64" s="63">
        <f t="shared" si="9"/>
        <v>52.72</v>
      </c>
    </row>
    <row r="65" spans="1:13" s="64" customFormat="1" ht="16.5" customHeight="1" x14ac:dyDescent="0.2">
      <c r="A65" s="56" t="s">
        <v>58</v>
      </c>
      <c r="B65" s="56" t="s">
        <v>59</v>
      </c>
      <c r="C65" s="57" t="s">
        <v>279</v>
      </c>
      <c r="D65" s="58">
        <v>10.46</v>
      </c>
      <c r="E65" s="58" t="s">
        <v>11</v>
      </c>
      <c r="F65" s="59" t="str">
        <f t="shared" si="5"/>
        <v>0008</v>
      </c>
      <c r="G65" s="60"/>
      <c r="H65" s="61">
        <v>0</v>
      </c>
      <c r="I65" s="61">
        <v>5</v>
      </c>
      <c r="J65" s="62">
        <f t="shared" si="6"/>
        <v>0</v>
      </c>
      <c r="K65" s="62">
        <f t="shared" si="7"/>
        <v>-5</v>
      </c>
      <c r="L65" s="62">
        <f t="shared" si="8"/>
        <v>-5</v>
      </c>
      <c r="M65" s="63">
        <f t="shared" si="9"/>
        <v>-52.300000000000004</v>
      </c>
    </row>
    <row r="66" spans="1:13" s="64" customFormat="1" ht="16.5" customHeight="1" x14ac:dyDescent="0.2">
      <c r="A66" s="65" t="s">
        <v>38</v>
      </c>
      <c r="B66" s="65" t="s">
        <v>39</v>
      </c>
      <c r="C66" s="66" t="s">
        <v>622</v>
      </c>
      <c r="D66" s="67">
        <v>2.95</v>
      </c>
      <c r="E66" s="67" t="s">
        <v>11</v>
      </c>
      <c r="F66" s="68" t="str">
        <f t="shared" si="5"/>
        <v>0008</v>
      </c>
      <c r="G66" s="69"/>
      <c r="H66" s="70">
        <v>15</v>
      </c>
      <c r="I66" s="70">
        <v>0</v>
      </c>
      <c r="J66" s="62">
        <f t="shared" si="6"/>
        <v>44.25</v>
      </c>
      <c r="K66" s="62">
        <f t="shared" si="7"/>
        <v>15</v>
      </c>
      <c r="L66" s="62">
        <f t="shared" si="8"/>
        <v>15</v>
      </c>
      <c r="M66" s="63">
        <f t="shared" si="9"/>
        <v>44.25</v>
      </c>
    </row>
    <row r="67" spans="1:13" s="64" customFormat="1" ht="16.5" customHeight="1" x14ac:dyDescent="0.2">
      <c r="A67" s="56" t="s">
        <v>133</v>
      </c>
      <c r="B67" s="56" t="s">
        <v>129</v>
      </c>
      <c r="C67" s="57" t="s">
        <v>281</v>
      </c>
      <c r="D67" s="58">
        <v>10.199999999999999</v>
      </c>
      <c r="E67" s="58" t="s">
        <v>11</v>
      </c>
      <c r="F67" s="59" t="str">
        <f t="shared" si="5"/>
        <v>0008</v>
      </c>
      <c r="G67" s="60"/>
      <c r="H67" s="61">
        <v>0</v>
      </c>
      <c r="I67" s="61">
        <v>3</v>
      </c>
      <c r="J67" s="62">
        <f t="shared" si="6"/>
        <v>0</v>
      </c>
      <c r="K67" s="62">
        <f t="shared" si="7"/>
        <v>-3</v>
      </c>
      <c r="L67" s="62">
        <f t="shared" si="8"/>
        <v>-3</v>
      </c>
      <c r="M67" s="63">
        <f t="shared" si="9"/>
        <v>-30.599999999999998</v>
      </c>
    </row>
    <row r="68" spans="1:13" s="64" customFormat="1" ht="16.5" customHeight="1" x14ac:dyDescent="0.2">
      <c r="A68" s="56" t="s">
        <v>51</v>
      </c>
      <c r="B68" s="56" t="s">
        <v>52</v>
      </c>
      <c r="C68" s="57" t="s">
        <v>266</v>
      </c>
      <c r="D68" s="58">
        <v>7.04</v>
      </c>
      <c r="E68" s="58" t="s">
        <v>11</v>
      </c>
      <c r="F68" s="59" t="str">
        <f t="shared" si="5"/>
        <v>0008</v>
      </c>
      <c r="G68" s="60"/>
      <c r="H68" s="61">
        <v>0</v>
      </c>
      <c r="I68" s="61">
        <v>4</v>
      </c>
      <c r="J68" s="62">
        <f t="shared" si="6"/>
        <v>0</v>
      </c>
      <c r="K68" s="62">
        <f t="shared" si="7"/>
        <v>-4</v>
      </c>
      <c r="L68" s="62">
        <f t="shared" si="8"/>
        <v>-4</v>
      </c>
      <c r="M68" s="63">
        <f t="shared" si="9"/>
        <v>-28.16</v>
      </c>
    </row>
    <row r="69" spans="1:13" s="64" customFormat="1" ht="16.5" customHeight="1" x14ac:dyDescent="0.2">
      <c r="A69" s="56" t="s">
        <v>35</v>
      </c>
      <c r="B69" s="56" t="s">
        <v>36</v>
      </c>
      <c r="C69" s="57" t="s">
        <v>252</v>
      </c>
      <c r="D69" s="58">
        <v>2.97</v>
      </c>
      <c r="E69" s="58" t="s">
        <v>11</v>
      </c>
      <c r="F69" s="59" t="str">
        <f t="shared" si="5"/>
        <v>0008</v>
      </c>
      <c r="G69" s="60"/>
      <c r="H69" s="61">
        <v>1019</v>
      </c>
      <c r="I69" s="61">
        <v>1010</v>
      </c>
      <c r="J69" s="62">
        <f t="shared" si="6"/>
        <v>3026.4300000000003</v>
      </c>
      <c r="K69" s="62">
        <f t="shared" si="7"/>
        <v>9</v>
      </c>
      <c r="L69" s="62">
        <f t="shared" si="8"/>
        <v>9</v>
      </c>
      <c r="M69" s="63">
        <f t="shared" si="9"/>
        <v>26.73</v>
      </c>
    </row>
    <row r="70" spans="1:13" s="64" customFormat="1" ht="16.5" customHeight="1" x14ac:dyDescent="0.2">
      <c r="A70" s="65" t="s">
        <v>239</v>
      </c>
      <c r="B70" s="65" t="s">
        <v>240</v>
      </c>
      <c r="C70" s="66" t="s">
        <v>641</v>
      </c>
      <c r="D70" s="67">
        <v>26.36</v>
      </c>
      <c r="E70" s="67" t="s">
        <v>11</v>
      </c>
      <c r="F70" s="68" t="str">
        <f t="shared" si="5"/>
        <v>0008</v>
      </c>
      <c r="G70" s="69"/>
      <c r="H70" s="70">
        <v>1</v>
      </c>
      <c r="I70" s="70">
        <v>0</v>
      </c>
      <c r="J70" s="62">
        <f t="shared" si="6"/>
        <v>26.36</v>
      </c>
      <c r="K70" s="62">
        <f t="shared" si="7"/>
        <v>1</v>
      </c>
      <c r="L70" s="62">
        <f t="shared" si="8"/>
        <v>1</v>
      </c>
      <c r="M70" s="63">
        <f t="shared" si="9"/>
        <v>26.36</v>
      </c>
    </row>
    <row r="71" spans="1:13" s="64" customFormat="1" ht="16.5" customHeight="1" x14ac:dyDescent="0.2">
      <c r="A71" s="65" t="s">
        <v>458</v>
      </c>
      <c r="B71" s="65" t="s">
        <v>459</v>
      </c>
      <c r="C71" s="66"/>
      <c r="D71" s="67">
        <v>12.05</v>
      </c>
      <c r="E71" s="67" t="s">
        <v>11</v>
      </c>
      <c r="F71" s="68" t="str">
        <f t="shared" si="5"/>
        <v>0008</v>
      </c>
      <c r="G71" s="69"/>
      <c r="H71" s="70">
        <v>2</v>
      </c>
      <c r="I71" s="70">
        <v>0</v>
      </c>
      <c r="J71" s="62">
        <f t="shared" si="6"/>
        <v>24.1</v>
      </c>
      <c r="K71" s="62">
        <f t="shared" si="7"/>
        <v>2</v>
      </c>
      <c r="L71" s="62">
        <f t="shared" si="8"/>
        <v>2</v>
      </c>
      <c r="M71" s="63">
        <f t="shared" si="9"/>
        <v>24.1</v>
      </c>
    </row>
    <row r="72" spans="1:13" s="64" customFormat="1" ht="16.5" customHeight="1" x14ac:dyDescent="0.2">
      <c r="A72" s="56" t="s">
        <v>115</v>
      </c>
      <c r="B72" s="56" t="s">
        <v>116</v>
      </c>
      <c r="C72" s="57" t="s">
        <v>259</v>
      </c>
      <c r="D72" s="58">
        <v>3.62</v>
      </c>
      <c r="E72" s="58" t="s">
        <v>11</v>
      </c>
      <c r="F72" s="59" t="str">
        <f t="shared" si="5"/>
        <v>0008</v>
      </c>
      <c r="G72" s="60"/>
      <c r="H72" s="61">
        <v>2593</v>
      </c>
      <c r="I72" s="61">
        <v>2590</v>
      </c>
      <c r="J72" s="62">
        <f t="shared" si="6"/>
        <v>9386.66</v>
      </c>
      <c r="K72" s="62">
        <f t="shared" si="7"/>
        <v>3</v>
      </c>
      <c r="L72" s="62">
        <f t="shared" si="8"/>
        <v>3</v>
      </c>
      <c r="M72" s="63">
        <f t="shared" si="9"/>
        <v>10.86</v>
      </c>
    </row>
    <row r="73" spans="1:13" s="64" customFormat="1" ht="16.5" customHeight="1" x14ac:dyDescent="0.2">
      <c r="A73" s="56" t="s">
        <v>51</v>
      </c>
      <c r="B73" s="56" t="s">
        <v>52</v>
      </c>
      <c r="C73" s="57" t="s">
        <v>53</v>
      </c>
      <c r="D73" s="58">
        <v>7.04</v>
      </c>
      <c r="E73" s="58" t="s">
        <v>11</v>
      </c>
      <c r="F73" s="59" t="str">
        <f t="shared" ref="F73:F102" si="10">+$M$3</f>
        <v>0008</v>
      </c>
      <c r="G73" s="60"/>
      <c r="H73" s="61">
        <v>0</v>
      </c>
      <c r="I73" s="61">
        <v>1</v>
      </c>
      <c r="J73" s="62">
        <f t="shared" ref="J73:J102" si="11">D73*H73</f>
        <v>0</v>
      </c>
      <c r="K73" s="62">
        <f t="shared" ref="K73:K102" si="12">H73-I73</f>
        <v>-1</v>
      </c>
      <c r="L73" s="62">
        <f t="shared" ref="L73:L102" si="13">H73-I73</f>
        <v>-1</v>
      </c>
      <c r="M73" s="63">
        <f t="shared" ref="M73:M102" si="14">L73*D73</f>
        <v>-7.04</v>
      </c>
    </row>
    <row r="74" spans="1:13" s="64" customFormat="1" ht="16.5" customHeight="1" x14ac:dyDescent="0.2">
      <c r="A74" s="65" t="s">
        <v>32</v>
      </c>
      <c r="B74" s="65" t="s">
        <v>33</v>
      </c>
      <c r="C74" s="66" t="s">
        <v>653</v>
      </c>
      <c r="D74" s="67">
        <v>3.03</v>
      </c>
      <c r="E74" s="67" t="s">
        <v>11</v>
      </c>
      <c r="F74" s="68" t="str">
        <f t="shared" si="10"/>
        <v>0008</v>
      </c>
      <c r="G74" s="69"/>
      <c r="H74" s="70">
        <v>2</v>
      </c>
      <c r="I74" s="70">
        <v>0</v>
      </c>
      <c r="J74" s="62">
        <f t="shared" si="11"/>
        <v>6.06</v>
      </c>
      <c r="K74" s="62">
        <f t="shared" si="12"/>
        <v>2</v>
      </c>
      <c r="L74" s="62">
        <f t="shared" si="13"/>
        <v>2</v>
      </c>
      <c r="M74" s="63">
        <f t="shared" si="14"/>
        <v>6.06</v>
      </c>
    </row>
    <row r="75" spans="1:13" s="64" customFormat="1" ht="16.5" customHeight="1" x14ac:dyDescent="0.2">
      <c r="A75" s="56" t="s">
        <v>55</v>
      </c>
      <c r="B75" s="56" t="s">
        <v>56</v>
      </c>
      <c r="C75" s="57" t="s">
        <v>274</v>
      </c>
      <c r="D75" s="58">
        <v>3.32</v>
      </c>
      <c r="E75" s="58" t="s">
        <v>11</v>
      </c>
      <c r="F75" s="59" t="str">
        <f t="shared" si="10"/>
        <v>0008</v>
      </c>
      <c r="G75" s="60"/>
      <c r="H75" s="61">
        <v>3</v>
      </c>
      <c r="I75" s="61">
        <v>2</v>
      </c>
      <c r="J75" s="62">
        <f t="shared" si="11"/>
        <v>9.9599999999999991</v>
      </c>
      <c r="K75" s="62">
        <f t="shared" si="12"/>
        <v>1</v>
      </c>
      <c r="L75" s="62">
        <f t="shared" si="13"/>
        <v>1</v>
      </c>
      <c r="M75" s="63">
        <f t="shared" si="14"/>
        <v>3.32</v>
      </c>
    </row>
    <row r="76" spans="1:13" s="64" customFormat="1" ht="16.5" customHeight="1" x14ac:dyDescent="0.2">
      <c r="A76" s="56" t="s">
        <v>177</v>
      </c>
      <c r="B76" s="56" t="s">
        <v>178</v>
      </c>
      <c r="C76" s="57" t="s">
        <v>16</v>
      </c>
      <c r="D76" s="58">
        <v>100.92</v>
      </c>
      <c r="E76" s="58" t="s">
        <v>11</v>
      </c>
      <c r="F76" s="59" t="str">
        <f t="shared" si="10"/>
        <v>0008</v>
      </c>
      <c r="G76" s="60"/>
      <c r="H76" s="61">
        <v>59</v>
      </c>
      <c r="I76" s="61">
        <v>59</v>
      </c>
      <c r="J76" s="62">
        <f t="shared" si="11"/>
        <v>5954.28</v>
      </c>
      <c r="K76" s="62">
        <f t="shared" si="12"/>
        <v>0</v>
      </c>
      <c r="L76" s="62">
        <f t="shared" si="13"/>
        <v>0</v>
      </c>
      <c r="M76" s="63">
        <f t="shared" si="14"/>
        <v>0</v>
      </c>
    </row>
    <row r="77" spans="1:13" s="64" customFormat="1" ht="16.5" customHeight="1" x14ac:dyDescent="0.2">
      <c r="A77" s="56" t="s">
        <v>169</v>
      </c>
      <c r="B77" s="56" t="s">
        <v>170</v>
      </c>
      <c r="C77" s="57" t="s">
        <v>16</v>
      </c>
      <c r="D77" s="58">
        <v>101.99</v>
      </c>
      <c r="E77" s="58" t="s">
        <v>11</v>
      </c>
      <c r="F77" s="59" t="str">
        <f t="shared" si="10"/>
        <v>0008</v>
      </c>
      <c r="G77" s="60"/>
      <c r="H77" s="61">
        <v>29</v>
      </c>
      <c r="I77" s="61">
        <v>29</v>
      </c>
      <c r="J77" s="62">
        <f t="shared" si="11"/>
        <v>2957.71</v>
      </c>
      <c r="K77" s="62">
        <f t="shared" si="12"/>
        <v>0</v>
      </c>
      <c r="L77" s="62">
        <f t="shared" si="13"/>
        <v>0</v>
      </c>
      <c r="M77" s="63">
        <f t="shared" si="14"/>
        <v>0</v>
      </c>
    </row>
    <row r="78" spans="1:13" s="64" customFormat="1" ht="16.5" customHeight="1" x14ac:dyDescent="0.2">
      <c r="A78" s="56" t="s">
        <v>195</v>
      </c>
      <c r="B78" s="56" t="s">
        <v>196</v>
      </c>
      <c r="C78" s="57" t="s">
        <v>197</v>
      </c>
      <c r="D78" s="58">
        <v>32.86</v>
      </c>
      <c r="E78" s="58" t="s">
        <v>11</v>
      </c>
      <c r="F78" s="59" t="str">
        <f t="shared" si="10"/>
        <v>0008</v>
      </c>
      <c r="G78" s="60"/>
      <c r="H78" s="61">
        <v>12</v>
      </c>
      <c r="I78" s="61">
        <v>12</v>
      </c>
      <c r="J78" s="62">
        <f t="shared" si="11"/>
        <v>394.32</v>
      </c>
      <c r="K78" s="62">
        <f t="shared" si="12"/>
        <v>0</v>
      </c>
      <c r="L78" s="62">
        <f t="shared" si="13"/>
        <v>0</v>
      </c>
      <c r="M78" s="63">
        <f t="shared" si="14"/>
        <v>0</v>
      </c>
    </row>
    <row r="79" spans="1:13" s="64" customFormat="1" ht="16.5" customHeight="1" x14ac:dyDescent="0.2">
      <c r="A79" s="56" t="s">
        <v>198</v>
      </c>
      <c r="B79" s="56" t="s">
        <v>199</v>
      </c>
      <c r="C79" s="57" t="s">
        <v>200</v>
      </c>
      <c r="D79" s="58">
        <v>8.51</v>
      </c>
      <c r="E79" s="58" t="s">
        <v>11</v>
      </c>
      <c r="F79" s="59" t="str">
        <f t="shared" si="10"/>
        <v>0008</v>
      </c>
      <c r="G79" s="60"/>
      <c r="H79" s="61">
        <v>24</v>
      </c>
      <c r="I79" s="61">
        <v>24</v>
      </c>
      <c r="J79" s="62">
        <f t="shared" si="11"/>
        <v>204.24</v>
      </c>
      <c r="K79" s="62">
        <f t="shared" si="12"/>
        <v>0</v>
      </c>
      <c r="L79" s="62">
        <f t="shared" si="13"/>
        <v>0</v>
      </c>
      <c r="M79" s="63">
        <f t="shared" si="14"/>
        <v>0</v>
      </c>
    </row>
    <row r="80" spans="1:13" s="64" customFormat="1" ht="16.5" customHeight="1" x14ac:dyDescent="0.2">
      <c r="A80" s="56" t="s">
        <v>204</v>
      </c>
      <c r="B80" s="56" t="s">
        <v>205</v>
      </c>
      <c r="C80" s="57" t="s">
        <v>206</v>
      </c>
      <c r="D80" s="58">
        <v>35.83</v>
      </c>
      <c r="E80" s="58" t="s">
        <v>11</v>
      </c>
      <c r="F80" s="59" t="str">
        <f t="shared" si="10"/>
        <v>0008</v>
      </c>
      <c r="G80" s="60"/>
      <c r="H80" s="61">
        <v>6</v>
      </c>
      <c r="I80" s="61">
        <v>6</v>
      </c>
      <c r="J80" s="62">
        <f t="shared" si="11"/>
        <v>214.98</v>
      </c>
      <c r="K80" s="62">
        <f t="shared" si="12"/>
        <v>0</v>
      </c>
      <c r="L80" s="62">
        <f t="shared" si="13"/>
        <v>0</v>
      </c>
      <c r="M80" s="63">
        <f t="shared" si="14"/>
        <v>0</v>
      </c>
    </row>
    <row r="81" spans="1:13" s="64" customFormat="1" ht="16.5" customHeight="1" x14ac:dyDescent="0.2">
      <c r="A81" s="56" t="s">
        <v>207</v>
      </c>
      <c r="B81" s="56" t="s">
        <v>208</v>
      </c>
      <c r="C81" s="57" t="s">
        <v>209</v>
      </c>
      <c r="D81" s="58">
        <v>29.67</v>
      </c>
      <c r="E81" s="58" t="s">
        <v>11</v>
      </c>
      <c r="F81" s="59" t="str">
        <f t="shared" si="10"/>
        <v>0008</v>
      </c>
      <c r="G81" s="60"/>
      <c r="H81" s="61">
        <v>12</v>
      </c>
      <c r="I81" s="61">
        <v>12</v>
      </c>
      <c r="J81" s="62">
        <f t="shared" si="11"/>
        <v>356.04</v>
      </c>
      <c r="K81" s="62">
        <f t="shared" si="12"/>
        <v>0</v>
      </c>
      <c r="L81" s="62">
        <f t="shared" si="13"/>
        <v>0</v>
      </c>
      <c r="M81" s="63">
        <f t="shared" si="14"/>
        <v>0</v>
      </c>
    </row>
    <row r="82" spans="1:13" s="64" customFormat="1" ht="16.5" customHeight="1" x14ac:dyDescent="0.2">
      <c r="A82" s="56" t="s">
        <v>93</v>
      </c>
      <c r="B82" s="56" t="s">
        <v>94</v>
      </c>
      <c r="C82" s="57" t="s">
        <v>213</v>
      </c>
      <c r="D82" s="58">
        <v>11.33</v>
      </c>
      <c r="E82" s="58" t="s">
        <v>11</v>
      </c>
      <c r="F82" s="59" t="str">
        <f t="shared" si="10"/>
        <v>0008</v>
      </c>
      <c r="G82" s="60"/>
      <c r="H82" s="61">
        <v>12</v>
      </c>
      <c r="I82" s="61">
        <v>12</v>
      </c>
      <c r="J82" s="62">
        <f t="shared" si="11"/>
        <v>135.96</v>
      </c>
      <c r="K82" s="62">
        <f t="shared" si="12"/>
        <v>0</v>
      </c>
      <c r="L82" s="62">
        <f t="shared" si="13"/>
        <v>0</v>
      </c>
      <c r="M82" s="63">
        <f t="shared" si="14"/>
        <v>0</v>
      </c>
    </row>
    <row r="83" spans="1:13" s="64" customFormat="1" ht="16.5" customHeight="1" x14ac:dyDescent="0.2">
      <c r="A83" s="56" t="s">
        <v>214</v>
      </c>
      <c r="B83" s="56" t="s">
        <v>215</v>
      </c>
      <c r="C83" s="57" t="s">
        <v>216</v>
      </c>
      <c r="D83" s="58">
        <v>15.11</v>
      </c>
      <c r="E83" s="58" t="s">
        <v>11</v>
      </c>
      <c r="F83" s="59" t="str">
        <f t="shared" si="10"/>
        <v>0008</v>
      </c>
      <c r="G83" s="60"/>
      <c r="H83" s="61">
        <v>12</v>
      </c>
      <c r="I83" s="61">
        <v>12</v>
      </c>
      <c r="J83" s="62">
        <f t="shared" si="11"/>
        <v>181.32</v>
      </c>
      <c r="K83" s="62">
        <f t="shared" si="12"/>
        <v>0</v>
      </c>
      <c r="L83" s="62">
        <f t="shared" si="13"/>
        <v>0</v>
      </c>
      <c r="M83" s="63">
        <f t="shared" si="14"/>
        <v>0</v>
      </c>
    </row>
    <row r="84" spans="1:13" s="64" customFormat="1" ht="16.5" customHeight="1" x14ac:dyDescent="0.2">
      <c r="A84" s="56" t="s">
        <v>217</v>
      </c>
      <c r="B84" s="56" t="s">
        <v>218</v>
      </c>
      <c r="C84" s="57" t="s">
        <v>219</v>
      </c>
      <c r="D84" s="58">
        <v>13.96</v>
      </c>
      <c r="E84" s="58" t="s">
        <v>11</v>
      </c>
      <c r="F84" s="59" t="str">
        <f t="shared" si="10"/>
        <v>0008</v>
      </c>
      <c r="G84" s="60"/>
      <c r="H84" s="61">
        <v>12</v>
      </c>
      <c r="I84" s="61">
        <v>12</v>
      </c>
      <c r="J84" s="62">
        <f t="shared" si="11"/>
        <v>167.52</v>
      </c>
      <c r="K84" s="62">
        <f t="shared" si="12"/>
        <v>0</v>
      </c>
      <c r="L84" s="62">
        <f t="shared" si="13"/>
        <v>0</v>
      </c>
      <c r="M84" s="63">
        <f t="shared" si="14"/>
        <v>0</v>
      </c>
    </row>
    <row r="85" spans="1:13" s="64" customFormat="1" ht="16.5" customHeight="1" x14ac:dyDescent="0.2">
      <c r="A85" s="56" t="s">
        <v>220</v>
      </c>
      <c r="B85" s="56" t="s">
        <v>221</v>
      </c>
      <c r="C85" s="57" t="s">
        <v>222</v>
      </c>
      <c r="D85" s="58">
        <v>14.83</v>
      </c>
      <c r="E85" s="58" t="s">
        <v>11</v>
      </c>
      <c r="F85" s="59" t="str">
        <f t="shared" si="10"/>
        <v>0008</v>
      </c>
      <c r="G85" s="60"/>
      <c r="H85" s="61">
        <v>12</v>
      </c>
      <c r="I85" s="61">
        <v>12</v>
      </c>
      <c r="J85" s="62">
        <f t="shared" si="11"/>
        <v>177.96</v>
      </c>
      <c r="K85" s="62">
        <f t="shared" si="12"/>
        <v>0</v>
      </c>
      <c r="L85" s="62">
        <f t="shared" si="13"/>
        <v>0</v>
      </c>
      <c r="M85" s="63">
        <f t="shared" si="14"/>
        <v>0</v>
      </c>
    </row>
    <row r="86" spans="1:13" s="64" customFormat="1" ht="16.5" customHeight="1" x14ac:dyDescent="0.2">
      <c r="A86" s="56" t="s">
        <v>223</v>
      </c>
      <c r="B86" s="56" t="s">
        <v>224</v>
      </c>
      <c r="C86" s="57" t="s">
        <v>225</v>
      </c>
      <c r="D86" s="58">
        <v>40.14</v>
      </c>
      <c r="E86" s="58" t="s">
        <v>11</v>
      </c>
      <c r="F86" s="59" t="str">
        <f t="shared" si="10"/>
        <v>0008</v>
      </c>
      <c r="G86" s="60"/>
      <c r="H86" s="61">
        <v>12</v>
      </c>
      <c r="I86" s="61">
        <v>12</v>
      </c>
      <c r="J86" s="62">
        <f t="shared" si="11"/>
        <v>481.68</v>
      </c>
      <c r="K86" s="62">
        <f t="shared" si="12"/>
        <v>0</v>
      </c>
      <c r="L86" s="62">
        <f t="shared" si="13"/>
        <v>0</v>
      </c>
      <c r="M86" s="63">
        <f t="shared" si="14"/>
        <v>0</v>
      </c>
    </row>
    <row r="87" spans="1:13" s="64" customFormat="1" ht="16.5" customHeight="1" x14ac:dyDescent="0.2">
      <c r="A87" s="56" t="s">
        <v>226</v>
      </c>
      <c r="B87" s="56" t="s">
        <v>227</v>
      </c>
      <c r="C87" s="57" t="s">
        <v>228</v>
      </c>
      <c r="D87" s="58">
        <v>34.729999999999997</v>
      </c>
      <c r="E87" s="58" t="s">
        <v>11</v>
      </c>
      <c r="F87" s="59" t="str">
        <f t="shared" si="10"/>
        <v>0008</v>
      </c>
      <c r="G87" s="60"/>
      <c r="H87" s="61">
        <v>12</v>
      </c>
      <c r="I87" s="61">
        <v>12</v>
      </c>
      <c r="J87" s="62">
        <f t="shared" si="11"/>
        <v>416.76</v>
      </c>
      <c r="K87" s="62">
        <f t="shared" si="12"/>
        <v>0</v>
      </c>
      <c r="L87" s="62">
        <f t="shared" si="13"/>
        <v>0</v>
      </c>
      <c r="M87" s="63">
        <f t="shared" si="14"/>
        <v>0</v>
      </c>
    </row>
    <row r="88" spans="1:13" s="64" customFormat="1" ht="16.5" customHeight="1" x14ac:dyDescent="0.2">
      <c r="A88" s="56" t="s">
        <v>229</v>
      </c>
      <c r="B88" s="56" t="s">
        <v>230</v>
      </c>
      <c r="C88" s="57" t="s">
        <v>231</v>
      </c>
      <c r="D88" s="58">
        <v>9.83</v>
      </c>
      <c r="E88" s="58" t="s">
        <v>11</v>
      </c>
      <c r="F88" s="59" t="str">
        <f t="shared" si="10"/>
        <v>0008</v>
      </c>
      <c r="G88" s="60"/>
      <c r="H88" s="61">
        <v>24</v>
      </c>
      <c r="I88" s="61">
        <v>24</v>
      </c>
      <c r="J88" s="62">
        <f t="shared" si="11"/>
        <v>235.92000000000002</v>
      </c>
      <c r="K88" s="62">
        <f t="shared" si="12"/>
        <v>0</v>
      </c>
      <c r="L88" s="62">
        <f t="shared" si="13"/>
        <v>0</v>
      </c>
      <c r="M88" s="63">
        <f t="shared" si="14"/>
        <v>0</v>
      </c>
    </row>
    <row r="89" spans="1:13" s="64" customFormat="1" ht="16.5" customHeight="1" x14ac:dyDescent="0.2">
      <c r="A89" s="56" t="s">
        <v>232</v>
      </c>
      <c r="B89" s="56" t="s">
        <v>233</v>
      </c>
      <c r="C89" s="57" t="s">
        <v>235</v>
      </c>
      <c r="D89" s="58">
        <v>27.68</v>
      </c>
      <c r="E89" s="58" t="s">
        <v>11</v>
      </c>
      <c r="F89" s="59" t="str">
        <f t="shared" si="10"/>
        <v>0008</v>
      </c>
      <c r="G89" s="60"/>
      <c r="H89" s="61">
        <v>80</v>
      </c>
      <c r="I89" s="61">
        <v>80</v>
      </c>
      <c r="J89" s="62">
        <f t="shared" si="11"/>
        <v>2214.4</v>
      </c>
      <c r="K89" s="62">
        <f t="shared" si="12"/>
        <v>0</v>
      </c>
      <c r="L89" s="62">
        <f t="shared" si="13"/>
        <v>0</v>
      </c>
      <c r="M89" s="63">
        <f t="shared" si="14"/>
        <v>0</v>
      </c>
    </row>
    <row r="90" spans="1:13" s="64" customFormat="1" ht="16.5" customHeight="1" x14ac:dyDescent="0.2">
      <c r="A90" s="56" t="s">
        <v>236</v>
      </c>
      <c r="B90" s="56" t="s">
        <v>237</v>
      </c>
      <c r="C90" s="57" t="s">
        <v>238</v>
      </c>
      <c r="D90" s="58">
        <v>15.08</v>
      </c>
      <c r="E90" s="58" t="s">
        <v>11</v>
      </c>
      <c r="F90" s="59" t="str">
        <f t="shared" si="10"/>
        <v>0008</v>
      </c>
      <c r="G90" s="60"/>
      <c r="H90" s="61">
        <v>29</v>
      </c>
      <c r="I90" s="61">
        <v>29</v>
      </c>
      <c r="J90" s="62">
        <f t="shared" si="11"/>
        <v>437.32</v>
      </c>
      <c r="K90" s="62">
        <f t="shared" si="12"/>
        <v>0</v>
      </c>
      <c r="L90" s="62">
        <f t="shared" si="13"/>
        <v>0</v>
      </c>
      <c r="M90" s="63">
        <f t="shared" si="14"/>
        <v>0</v>
      </c>
    </row>
    <row r="91" spans="1:13" s="64" customFormat="1" ht="16.5" customHeight="1" x14ac:dyDescent="0.2">
      <c r="A91" s="56" t="s">
        <v>239</v>
      </c>
      <c r="B91" s="56" t="s">
        <v>240</v>
      </c>
      <c r="C91" s="57" t="s">
        <v>245</v>
      </c>
      <c r="D91" s="58">
        <v>26.36</v>
      </c>
      <c r="E91" s="58" t="s">
        <v>11</v>
      </c>
      <c r="F91" s="59" t="str">
        <f t="shared" si="10"/>
        <v>0008</v>
      </c>
      <c r="G91" s="60"/>
      <c r="H91" s="61">
        <v>20</v>
      </c>
      <c r="I91" s="61">
        <v>20</v>
      </c>
      <c r="J91" s="62">
        <f t="shared" si="11"/>
        <v>527.20000000000005</v>
      </c>
      <c r="K91" s="62">
        <f t="shared" si="12"/>
        <v>0</v>
      </c>
      <c r="L91" s="62">
        <f t="shared" si="13"/>
        <v>0</v>
      </c>
      <c r="M91" s="63">
        <f t="shared" si="14"/>
        <v>0</v>
      </c>
    </row>
    <row r="92" spans="1:13" s="64" customFormat="1" ht="16.5" customHeight="1" x14ac:dyDescent="0.2">
      <c r="A92" s="56" t="s">
        <v>44</v>
      </c>
      <c r="B92" s="56" t="s">
        <v>45</v>
      </c>
      <c r="C92" s="57" t="s">
        <v>256</v>
      </c>
      <c r="D92" s="58">
        <v>2.95</v>
      </c>
      <c r="E92" s="58" t="s">
        <v>11</v>
      </c>
      <c r="F92" s="59" t="str">
        <f t="shared" si="10"/>
        <v>0008</v>
      </c>
      <c r="G92" s="60"/>
      <c r="H92" s="61">
        <v>79</v>
      </c>
      <c r="I92" s="61">
        <v>79</v>
      </c>
      <c r="J92" s="62">
        <f t="shared" si="11"/>
        <v>233.05</v>
      </c>
      <c r="K92" s="62">
        <f t="shared" si="12"/>
        <v>0</v>
      </c>
      <c r="L92" s="62">
        <f t="shared" si="13"/>
        <v>0</v>
      </c>
      <c r="M92" s="63">
        <f t="shared" si="14"/>
        <v>0</v>
      </c>
    </row>
    <row r="93" spans="1:13" s="64" customFormat="1" ht="16.5" customHeight="1" x14ac:dyDescent="0.2">
      <c r="A93" s="56" t="s">
        <v>47</v>
      </c>
      <c r="B93" s="56" t="s">
        <v>48</v>
      </c>
      <c r="C93" s="57" t="s">
        <v>257</v>
      </c>
      <c r="D93" s="58">
        <v>21.87</v>
      </c>
      <c r="E93" s="58" t="s">
        <v>11</v>
      </c>
      <c r="F93" s="59" t="str">
        <f t="shared" si="10"/>
        <v>0008</v>
      </c>
      <c r="G93" s="60"/>
      <c r="H93" s="61">
        <v>42</v>
      </c>
      <c r="I93" s="61">
        <v>42</v>
      </c>
      <c r="J93" s="62">
        <f t="shared" si="11"/>
        <v>918.54000000000008</v>
      </c>
      <c r="K93" s="62">
        <f t="shared" si="12"/>
        <v>0</v>
      </c>
      <c r="L93" s="62">
        <f t="shared" si="13"/>
        <v>0</v>
      </c>
      <c r="M93" s="63">
        <f t="shared" si="14"/>
        <v>0</v>
      </c>
    </row>
    <row r="94" spans="1:13" s="64" customFormat="1" ht="16.5" customHeight="1" x14ac:dyDescent="0.2">
      <c r="A94" s="56" t="s">
        <v>270</v>
      </c>
      <c r="B94" s="56" t="s">
        <v>271</v>
      </c>
      <c r="C94" s="57" t="s">
        <v>272</v>
      </c>
      <c r="D94" s="58">
        <v>12.34</v>
      </c>
      <c r="E94" s="58" t="s">
        <v>11</v>
      </c>
      <c r="F94" s="59" t="str">
        <f t="shared" si="10"/>
        <v>0008</v>
      </c>
      <c r="G94" s="60"/>
      <c r="H94" s="61">
        <v>1</v>
      </c>
      <c r="I94" s="61">
        <v>1</v>
      </c>
      <c r="J94" s="62">
        <f t="shared" si="11"/>
        <v>12.34</v>
      </c>
      <c r="K94" s="62">
        <f t="shared" si="12"/>
        <v>0</v>
      </c>
      <c r="L94" s="62">
        <f t="shared" si="13"/>
        <v>0</v>
      </c>
      <c r="M94" s="63">
        <f t="shared" si="14"/>
        <v>0</v>
      </c>
    </row>
    <row r="95" spans="1:13" s="64" customFormat="1" ht="16.5" customHeight="1" x14ac:dyDescent="0.2">
      <c r="A95" s="65" t="s">
        <v>232</v>
      </c>
      <c r="B95" s="65" t="s">
        <v>233</v>
      </c>
      <c r="C95" s="66" t="s">
        <v>489</v>
      </c>
      <c r="D95" s="67">
        <v>27.68</v>
      </c>
      <c r="E95" s="67" t="s">
        <v>11</v>
      </c>
      <c r="F95" s="68" t="str">
        <f t="shared" si="10"/>
        <v>0008</v>
      </c>
      <c r="G95" s="69"/>
      <c r="H95" s="70">
        <v>0</v>
      </c>
      <c r="I95" s="70">
        <v>0</v>
      </c>
      <c r="J95" s="62">
        <f t="shared" si="11"/>
        <v>0</v>
      </c>
      <c r="K95" s="62">
        <f t="shared" si="12"/>
        <v>0</v>
      </c>
      <c r="L95" s="62">
        <f t="shared" si="13"/>
        <v>0</v>
      </c>
      <c r="M95" s="63">
        <f t="shared" si="14"/>
        <v>0</v>
      </c>
    </row>
    <row r="96" spans="1:13" s="64" customFormat="1" ht="16.5" customHeight="1" x14ac:dyDescent="0.2">
      <c r="A96" s="65" t="s">
        <v>239</v>
      </c>
      <c r="B96" s="65" t="s">
        <v>240</v>
      </c>
      <c r="C96" s="66" t="s">
        <v>638</v>
      </c>
      <c r="D96" s="67">
        <v>26.36</v>
      </c>
      <c r="E96" s="67" t="s">
        <v>11</v>
      </c>
      <c r="F96" s="68" t="str">
        <f t="shared" si="10"/>
        <v>0008</v>
      </c>
      <c r="G96" s="69"/>
      <c r="H96" s="70">
        <v>0</v>
      </c>
      <c r="I96" s="70">
        <v>0</v>
      </c>
      <c r="J96" s="62">
        <f t="shared" si="11"/>
        <v>0</v>
      </c>
      <c r="K96" s="62">
        <f t="shared" si="12"/>
        <v>0</v>
      </c>
      <c r="L96" s="62">
        <f t="shared" si="13"/>
        <v>0</v>
      </c>
      <c r="M96" s="63">
        <f t="shared" si="14"/>
        <v>0</v>
      </c>
    </row>
    <row r="97" spans="1:13" s="64" customFormat="1" ht="16.5" customHeight="1" x14ac:dyDescent="0.2">
      <c r="A97" s="65" t="s">
        <v>23</v>
      </c>
      <c r="B97" s="65" t="s">
        <v>24</v>
      </c>
      <c r="C97" s="66" t="s">
        <v>645</v>
      </c>
      <c r="D97" s="67">
        <v>7.97</v>
      </c>
      <c r="E97" s="67" t="s">
        <v>11</v>
      </c>
      <c r="F97" s="68" t="str">
        <f t="shared" si="10"/>
        <v>0008</v>
      </c>
      <c r="G97" s="69"/>
      <c r="H97" s="70">
        <v>0</v>
      </c>
      <c r="I97" s="70">
        <v>0</v>
      </c>
      <c r="J97" s="62">
        <f t="shared" si="11"/>
        <v>0</v>
      </c>
      <c r="K97" s="62">
        <f t="shared" si="12"/>
        <v>0</v>
      </c>
      <c r="L97" s="62">
        <f t="shared" si="13"/>
        <v>0</v>
      </c>
      <c r="M97" s="63">
        <f t="shared" si="14"/>
        <v>0</v>
      </c>
    </row>
    <row r="98" spans="1:13" s="64" customFormat="1" ht="16.5" customHeight="1" x14ac:dyDescent="0.2">
      <c r="A98" s="65" t="s">
        <v>23</v>
      </c>
      <c r="B98" s="65" t="s">
        <v>24</v>
      </c>
      <c r="C98" s="66" t="s">
        <v>644</v>
      </c>
      <c r="D98" s="67">
        <v>7.97</v>
      </c>
      <c r="E98" s="67" t="s">
        <v>11</v>
      </c>
      <c r="F98" s="68" t="str">
        <f t="shared" si="10"/>
        <v>0008</v>
      </c>
      <c r="G98" s="69"/>
      <c r="H98" s="70">
        <v>0</v>
      </c>
      <c r="I98" s="70">
        <v>0</v>
      </c>
      <c r="J98" s="62">
        <f t="shared" si="11"/>
        <v>0</v>
      </c>
      <c r="K98" s="62">
        <f t="shared" si="12"/>
        <v>0</v>
      </c>
      <c r="L98" s="62">
        <f t="shared" si="13"/>
        <v>0</v>
      </c>
      <c r="M98" s="63">
        <f t="shared" si="14"/>
        <v>0</v>
      </c>
    </row>
    <row r="99" spans="1:13" s="64" customFormat="1" ht="16.5" customHeight="1" x14ac:dyDescent="0.2">
      <c r="A99" s="65" t="s">
        <v>51</v>
      </c>
      <c r="B99" s="65" t="s">
        <v>52</v>
      </c>
      <c r="C99" s="66" t="s">
        <v>562</v>
      </c>
      <c r="D99" s="67">
        <v>7.04</v>
      </c>
      <c r="E99" s="67" t="s">
        <v>11</v>
      </c>
      <c r="F99" s="68" t="str">
        <f t="shared" si="10"/>
        <v>0008</v>
      </c>
      <c r="G99" s="69"/>
      <c r="H99" s="70">
        <v>0</v>
      </c>
      <c r="I99" s="70">
        <v>0</v>
      </c>
      <c r="J99" s="62">
        <f t="shared" si="11"/>
        <v>0</v>
      </c>
      <c r="K99" s="62">
        <f t="shared" si="12"/>
        <v>0</v>
      </c>
      <c r="L99" s="62">
        <f t="shared" si="13"/>
        <v>0</v>
      </c>
      <c r="M99" s="63">
        <f t="shared" si="14"/>
        <v>0</v>
      </c>
    </row>
    <row r="100" spans="1:13" s="64" customFormat="1" ht="16.5" customHeight="1" x14ac:dyDescent="0.2">
      <c r="A100" s="65" t="s">
        <v>51</v>
      </c>
      <c r="B100" s="65" t="s">
        <v>52</v>
      </c>
      <c r="C100" s="66" t="s">
        <v>563</v>
      </c>
      <c r="D100" s="67">
        <v>7.04</v>
      </c>
      <c r="E100" s="67" t="s">
        <v>11</v>
      </c>
      <c r="F100" s="68" t="str">
        <f t="shared" si="10"/>
        <v>0008</v>
      </c>
      <c r="G100" s="69"/>
      <c r="H100" s="70">
        <v>0</v>
      </c>
      <c r="I100" s="70">
        <v>0</v>
      </c>
      <c r="J100" s="62">
        <f t="shared" si="11"/>
        <v>0</v>
      </c>
      <c r="K100" s="62">
        <f t="shared" si="12"/>
        <v>0</v>
      </c>
      <c r="L100" s="62">
        <f t="shared" si="13"/>
        <v>0</v>
      </c>
      <c r="M100" s="63">
        <f t="shared" si="14"/>
        <v>0</v>
      </c>
    </row>
    <row r="101" spans="1:13" s="64" customFormat="1" ht="16.5" customHeight="1" x14ac:dyDescent="0.2">
      <c r="A101" s="65" t="s">
        <v>131</v>
      </c>
      <c r="B101" s="65" t="s">
        <v>130</v>
      </c>
      <c r="C101" s="66" t="s">
        <v>657</v>
      </c>
      <c r="D101" s="67">
        <v>10.210000000000001</v>
      </c>
      <c r="E101" s="67" t="s">
        <v>11</v>
      </c>
      <c r="F101" s="68" t="str">
        <f t="shared" si="10"/>
        <v>0008</v>
      </c>
      <c r="G101" s="69"/>
      <c r="H101" s="70">
        <v>0</v>
      </c>
      <c r="I101" s="70">
        <v>0</v>
      </c>
      <c r="J101" s="62">
        <f t="shared" si="11"/>
        <v>0</v>
      </c>
      <c r="K101" s="62">
        <f t="shared" si="12"/>
        <v>0</v>
      </c>
      <c r="L101" s="62">
        <f t="shared" si="13"/>
        <v>0</v>
      </c>
      <c r="M101" s="63">
        <f t="shared" si="14"/>
        <v>0</v>
      </c>
    </row>
    <row r="102" spans="1:13" s="64" customFormat="1" ht="16.5" customHeight="1" x14ac:dyDescent="0.2">
      <c r="A102" s="65" t="s">
        <v>58</v>
      </c>
      <c r="B102" s="65" t="s">
        <v>59</v>
      </c>
      <c r="C102" s="66" t="s">
        <v>618</v>
      </c>
      <c r="D102" s="67">
        <v>10.46</v>
      </c>
      <c r="E102" s="67" t="s">
        <v>11</v>
      </c>
      <c r="F102" s="68" t="str">
        <f t="shared" si="10"/>
        <v>0008</v>
      </c>
      <c r="G102" s="69"/>
      <c r="H102" s="70">
        <v>0</v>
      </c>
      <c r="I102" s="70">
        <v>0</v>
      </c>
      <c r="J102" s="62">
        <f t="shared" si="11"/>
        <v>0</v>
      </c>
      <c r="K102" s="62">
        <f t="shared" si="12"/>
        <v>0</v>
      </c>
      <c r="L102" s="62">
        <f t="shared" si="13"/>
        <v>0</v>
      </c>
      <c r="M102" s="63">
        <f t="shared" si="14"/>
        <v>0</v>
      </c>
    </row>
    <row r="103" spans="1:13" s="64" customFormat="1" ht="16.5" customHeight="1" x14ac:dyDescent="0.2">
      <c r="A103" s="56"/>
      <c r="B103" s="56"/>
      <c r="C103" s="57"/>
      <c r="D103" s="58"/>
      <c r="E103" s="58"/>
      <c r="F103" s="59"/>
      <c r="G103" s="60"/>
      <c r="H103" s="61">
        <f t="shared" ref="H103:M103" si="15">SUM(H9:H102)</f>
        <v>9674</v>
      </c>
      <c r="I103" s="61">
        <f t="shared" si="15"/>
        <v>12282</v>
      </c>
      <c r="J103" s="62">
        <f t="shared" si="15"/>
        <v>135818.04000000004</v>
      </c>
      <c r="K103" s="62">
        <f t="shared" si="15"/>
        <v>-2608</v>
      </c>
      <c r="L103" s="62">
        <f t="shared" si="15"/>
        <v>-2608</v>
      </c>
      <c r="M103" s="63">
        <f t="shared" si="15"/>
        <v>9629.7699999999877</v>
      </c>
    </row>
    <row r="104" spans="1:13" s="64" customFormat="1" ht="16.5" customHeight="1" x14ac:dyDescent="0.2"/>
    <row r="105" spans="1:13" s="64" customFormat="1" ht="16.5" customHeight="1" x14ac:dyDescent="0.2"/>
    <row r="106" spans="1:13" s="64" customFormat="1" ht="16.5" customHeight="1" x14ac:dyDescent="0.2"/>
    <row r="107" spans="1:13" s="64" customFormat="1" ht="16.5" customHeight="1" x14ac:dyDescent="0.2"/>
    <row r="108" spans="1:13" s="64" customFormat="1" ht="16.5" customHeight="1" x14ac:dyDescent="0.2"/>
    <row r="109" spans="1:13" s="64" customFormat="1" ht="16.5" customHeight="1" x14ac:dyDescent="0.2"/>
    <row r="110" spans="1:13" s="64" customFormat="1" ht="16.5" customHeight="1" x14ac:dyDescent="0.2"/>
    <row r="111" spans="1:13" s="64" customFormat="1" ht="16.5" customHeight="1" x14ac:dyDescent="0.2"/>
    <row r="112" spans="1:13" s="64" customFormat="1" ht="16.5" customHeight="1" x14ac:dyDescent="0.2"/>
    <row r="113" s="64" customFormat="1" ht="16.5" customHeight="1" x14ac:dyDescent="0.2"/>
    <row r="114" s="64" customFormat="1" ht="16.5" customHeight="1" x14ac:dyDescent="0.2"/>
    <row r="115" s="64" customFormat="1" ht="16.5" customHeight="1" x14ac:dyDescent="0.2"/>
    <row r="116" s="64" customFormat="1" ht="16.5" customHeight="1" x14ac:dyDescent="0.2"/>
    <row r="117" s="64" customFormat="1" ht="16.5" customHeight="1" x14ac:dyDescent="0.2"/>
    <row r="118" s="64" customFormat="1" ht="16.5" customHeight="1" x14ac:dyDescent="0.2"/>
    <row r="119" s="64" customFormat="1" ht="16.5" customHeight="1" x14ac:dyDescent="0.2"/>
    <row r="120" s="64" customFormat="1" ht="16.5" customHeight="1" x14ac:dyDescent="0.2"/>
    <row r="121" s="64" customFormat="1" ht="16.5" customHeight="1" x14ac:dyDescent="0.2"/>
    <row r="122" s="64" customFormat="1" ht="16.5" customHeight="1" x14ac:dyDescent="0.2"/>
    <row r="123" s="64" customFormat="1" ht="16.5" customHeight="1" x14ac:dyDescent="0.2"/>
    <row r="124" s="64" customFormat="1" ht="16.5" customHeight="1" x14ac:dyDescent="0.2"/>
    <row r="125" s="64" customFormat="1" ht="16.5" customHeight="1" x14ac:dyDescent="0.2"/>
    <row r="126" s="64" customFormat="1" ht="16.5" customHeight="1" x14ac:dyDescent="0.2"/>
    <row r="127" s="64" customFormat="1" ht="16.5" customHeight="1" x14ac:dyDescent="0.2"/>
    <row r="128" s="64" customFormat="1" ht="16.5" customHeight="1" x14ac:dyDescent="0.2"/>
    <row r="129" s="64" customFormat="1" ht="16.5" customHeight="1" x14ac:dyDescent="0.2"/>
    <row r="130" s="64" customFormat="1" ht="16.5" customHeight="1" x14ac:dyDescent="0.2"/>
    <row r="131" s="64" customFormat="1" ht="16.5" customHeight="1" x14ac:dyDescent="0.2"/>
    <row r="132" s="64" customFormat="1" ht="16.5" customHeight="1" x14ac:dyDescent="0.2"/>
    <row r="133" s="64" customFormat="1" ht="16.5" customHeight="1" x14ac:dyDescent="0.2"/>
    <row r="134" ht="18" customHeight="1" x14ac:dyDescent="0.25"/>
    <row r="135" ht="15.75" customHeight="1" x14ac:dyDescent="0.25"/>
  </sheetData>
  <mergeCells count="12">
    <mergeCell ref="G6:G7"/>
    <mergeCell ref="K6:L6"/>
    <mergeCell ref="A6:A7"/>
    <mergeCell ref="B6:B7"/>
    <mergeCell ref="C6:C7"/>
    <mergeCell ref="E6:E7"/>
    <mergeCell ref="F6:F7"/>
    <mergeCell ref="A1:B3"/>
    <mergeCell ref="C1:M1"/>
    <mergeCell ref="C2:M2"/>
    <mergeCell ref="C3:I3"/>
    <mergeCell ref="L5:M5"/>
  </mergeCells>
  <conditionalFormatting sqref="A1 B5 A5:A8 A134:A65536">
    <cfRule type="cellIs" dxfId="47" priority="8" operator="greaterThan">
      <formula>1</formula>
    </cfRule>
  </conditionalFormatting>
  <conditionalFormatting sqref="A4:B4 L4:M4">
    <cfRule type="cellIs" dxfId="46" priority="9" operator="equal">
      <formula>12</formula>
    </cfRule>
    <cfRule type="cellIs" dxfId="45" priority="10" operator="equal">
      <formula>17</formula>
    </cfRule>
    <cfRule type="cellIs" dxfId="44" priority="11" operator="equal">
      <formula>5</formula>
    </cfRule>
  </conditionalFormatting>
  <conditionalFormatting sqref="C4:G5 C6 E6:G6 D6:D7 C8:G8 C134:G65536">
    <cfRule type="cellIs" dxfId="43" priority="7" operator="greaterThanOrEqual">
      <formula>0.01</formula>
    </cfRule>
  </conditionalFormatting>
  <conditionalFormatting sqref="J134">
    <cfRule type="cellIs" dxfId="42" priority="5" operator="greaterThanOrEqual">
      <formula>0</formula>
    </cfRule>
    <cfRule type="cellIs" dxfId="41" priority="6" operator="lessThan">
      <formula>0</formula>
    </cfRule>
  </conditionalFormatting>
  <conditionalFormatting sqref="K9:L133">
    <cfRule type="cellIs" dxfId="40" priority="4" operator="equal">
      <formula>0</formula>
    </cfRule>
  </conditionalFormatting>
  <conditionalFormatting sqref="M9:M134">
    <cfRule type="cellIs" dxfId="39" priority="2" operator="greaterThanOrEqual">
      <formula>0</formula>
    </cfRule>
    <cfRule type="cellIs" dxfId="38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VR128"/>
  <sheetViews>
    <sheetView zoomScaleNormal="100" workbookViewId="0">
      <selection activeCell="A8" sqref="A8:XFD8"/>
    </sheetView>
  </sheetViews>
  <sheetFormatPr defaultColWidth="11.42578125" defaultRowHeight="15" x14ac:dyDescent="0.25"/>
  <cols>
    <col min="1" max="1" width="9.5703125" style="1" customWidth="1"/>
    <col min="2" max="2" width="50.7109375" style="2" customWidth="1"/>
    <col min="3" max="3" width="12.28515625" style="3" customWidth="1"/>
    <col min="4" max="4" width="8" style="4" customWidth="1"/>
    <col min="5" max="5" width="6.7109375" style="5" customWidth="1"/>
    <col min="6" max="6" width="12.7109375" style="4" customWidth="1"/>
    <col min="7" max="7" width="12.7109375" style="5" customWidth="1"/>
    <col min="8" max="8" width="20.7109375" style="6" customWidth="1"/>
    <col min="9" max="9" width="12.7109375" style="7" customWidth="1"/>
    <col min="10" max="10" width="12.7109375" style="5" hidden="1" customWidth="1"/>
    <col min="11" max="12" width="12.7109375" style="8" customWidth="1"/>
    <col min="13" max="13" width="12.7109375" style="5" customWidth="1"/>
    <col min="14" max="256" width="11.42578125" style="9"/>
    <col min="257" max="257" width="9.5703125" style="9" customWidth="1"/>
    <col min="258" max="258" width="50.7109375" style="9" customWidth="1"/>
    <col min="259" max="259" width="12.28515625" style="9" customWidth="1"/>
    <col min="260" max="260" width="8" style="9" customWidth="1"/>
    <col min="261" max="261" width="6.7109375" style="9" customWidth="1"/>
    <col min="262" max="263" width="12.7109375" style="9" customWidth="1"/>
    <col min="264" max="264" width="20.7109375" style="9" customWidth="1"/>
    <col min="265" max="265" width="12.7109375" style="9" customWidth="1"/>
    <col min="266" max="266" width="11.5703125" style="9" hidden="1" customWidth="1"/>
    <col min="267" max="269" width="12.7109375" style="9" customWidth="1"/>
    <col min="270" max="512" width="11.42578125" style="9"/>
    <col min="513" max="513" width="9.5703125" style="9" customWidth="1"/>
    <col min="514" max="514" width="50.7109375" style="9" customWidth="1"/>
    <col min="515" max="515" width="12.28515625" style="9" customWidth="1"/>
    <col min="516" max="516" width="8" style="9" customWidth="1"/>
    <col min="517" max="517" width="6.7109375" style="9" customWidth="1"/>
    <col min="518" max="519" width="12.7109375" style="9" customWidth="1"/>
    <col min="520" max="520" width="20.7109375" style="9" customWidth="1"/>
    <col min="521" max="521" width="12.7109375" style="9" customWidth="1"/>
    <col min="522" max="522" width="11.5703125" style="9" hidden="1" customWidth="1"/>
    <col min="523" max="525" width="12.7109375" style="9" customWidth="1"/>
    <col min="526" max="768" width="11.42578125" style="9"/>
    <col min="769" max="769" width="9.5703125" style="9" customWidth="1"/>
    <col min="770" max="770" width="50.7109375" style="9" customWidth="1"/>
    <col min="771" max="771" width="12.28515625" style="9" customWidth="1"/>
    <col min="772" max="772" width="8" style="9" customWidth="1"/>
    <col min="773" max="773" width="6.7109375" style="9" customWidth="1"/>
    <col min="774" max="775" width="12.7109375" style="9" customWidth="1"/>
    <col min="776" max="776" width="20.7109375" style="9" customWidth="1"/>
    <col min="777" max="777" width="12.7109375" style="9" customWidth="1"/>
    <col min="778" max="778" width="11.5703125" style="9" hidden="1" customWidth="1"/>
    <col min="779" max="781" width="12.7109375" style="9" customWidth="1"/>
    <col min="782" max="1024" width="11.42578125" style="9"/>
    <col min="1025" max="1025" width="9.5703125" style="9" customWidth="1"/>
    <col min="1026" max="1026" width="50.7109375" style="9" customWidth="1"/>
    <col min="1027" max="1027" width="12.28515625" style="9" customWidth="1"/>
    <col min="1028" max="1028" width="8" style="9" customWidth="1"/>
    <col min="1029" max="1029" width="6.7109375" style="9" customWidth="1"/>
    <col min="1030" max="1031" width="12.7109375" style="9" customWidth="1"/>
    <col min="1032" max="1032" width="20.7109375" style="9" customWidth="1"/>
    <col min="1033" max="1033" width="12.7109375" style="9" customWidth="1"/>
    <col min="1034" max="1034" width="11.5703125" style="9" hidden="1" customWidth="1"/>
    <col min="1035" max="1037" width="12.7109375" style="9" customWidth="1"/>
    <col min="1038" max="1280" width="11.42578125" style="9"/>
    <col min="1281" max="1281" width="9.5703125" style="9" customWidth="1"/>
    <col min="1282" max="1282" width="50.7109375" style="9" customWidth="1"/>
    <col min="1283" max="1283" width="12.28515625" style="9" customWidth="1"/>
    <col min="1284" max="1284" width="8" style="9" customWidth="1"/>
    <col min="1285" max="1285" width="6.7109375" style="9" customWidth="1"/>
    <col min="1286" max="1287" width="12.7109375" style="9" customWidth="1"/>
    <col min="1288" max="1288" width="20.7109375" style="9" customWidth="1"/>
    <col min="1289" max="1289" width="12.7109375" style="9" customWidth="1"/>
    <col min="1290" max="1290" width="11.5703125" style="9" hidden="1" customWidth="1"/>
    <col min="1291" max="1293" width="12.7109375" style="9" customWidth="1"/>
    <col min="1294" max="1536" width="11.42578125" style="9"/>
    <col min="1537" max="1537" width="9.5703125" style="9" customWidth="1"/>
    <col min="1538" max="1538" width="50.7109375" style="9" customWidth="1"/>
    <col min="1539" max="1539" width="12.28515625" style="9" customWidth="1"/>
    <col min="1540" max="1540" width="8" style="9" customWidth="1"/>
    <col min="1541" max="1541" width="6.7109375" style="9" customWidth="1"/>
    <col min="1542" max="1543" width="12.7109375" style="9" customWidth="1"/>
    <col min="1544" max="1544" width="20.7109375" style="9" customWidth="1"/>
    <col min="1545" max="1545" width="12.7109375" style="9" customWidth="1"/>
    <col min="1546" max="1546" width="11.5703125" style="9" hidden="1" customWidth="1"/>
    <col min="1547" max="1549" width="12.7109375" style="9" customWidth="1"/>
    <col min="1550" max="1792" width="11.42578125" style="9"/>
    <col min="1793" max="1793" width="9.5703125" style="9" customWidth="1"/>
    <col min="1794" max="1794" width="50.7109375" style="9" customWidth="1"/>
    <col min="1795" max="1795" width="12.28515625" style="9" customWidth="1"/>
    <col min="1796" max="1796" width="8" style="9" customWidth="1"/>
    <col min="1797" max="1797" width="6.7109375" style="9" customWidth="1"/>
    <col min="1798" max="1799" width="12.7109375" style="9" customWidth="1"/>
    <col min="1800" max="1800" width="20.7109375" style="9" customWidth="1"/>
    <col min="1801" max="1801" width="12.7109375" style="9" customWidth="1"/>
    <col min="1802" max="1802" width="11.5703125" style="9" hidden="1" customWidth="1"/>
    <col min="1803" max="1805" width="12.7109375" style="9" customWidth="1"/>
    <col min="1806" max="2048" width="11.42578125" style="9"/>
    <col min="2049" max="2049" width="9.5703125" style="9" customWidth="1"/>
    <col min="2050" max="2050" width="50.7109375" style="9" customWidth="1"/>
    <col min="2051" max="2051" width="12.28515625" style="9" customWidth="1"/>
    <col min="2052" max="2052" width="8" style="9" customWidth="1"/>
    <col min="2053" max="2053" width="6.7109375" style="9" customWidth="1"/>
    <col min="2054" max="2055" width="12.7109375" style="9" customWidth="1"/>
    <col min="2056" max="2056" width="20.7109375" style="9" customWidth="1"/>
    <col min="2057" max="2057" width="12.7109375" style="9" customWidth="1"/>
    <col min="2058" max="2058" width="11.5703125" style="9" hidden="1" customWidth="1"/>
    <col min="2059" max="2061" width="12.7109375" style="9" customWidth="1"/>
    <col min="2062" max="2304" width="11.42578125" style="9"/>
    <col min="2305" max="2305" width="9.5703125" style="9" customWidth="1"/>
    <col min="2306" max="2306" width="50.7109375" style="9" customWidth="1"/>
    <col min="2307" max="2307" width="12.28515625" style="9" customWidth="1"/>
    <col min="2308" max="2308" width="8" style="9" customWidth="1"/>
    <col min="2309" max="2309" width="6.7109375" style="9" customWidth="1"/>
    <col min="2310" max="2311" width="12.7109375" style="9" customWidth="1"/>
    <col min="2312" max="2312" width="20.7109375" style="9" customWidth="1"/>
    <col min="2313" max="2313" width="12.7109375" style="9" customWidth="1"/>
    <col min="2314" max="2314" width="11.5703125" style="9" hidden="1" customWidth="1"/>
    <col min="2315" max="2317" width="12.7109375" style="9" customWidth="1"/>
    <col min="2318" max="2560" width="11.42578125" style="9"/>
    <col min="2561" max="2561" width="9.5703125" style="9" customWidth="1"/>
    <col min="2562" max="2562" width="50.7109375" style="9" customWidth="1"/>
    <col min="2563" max="2563" width="12.28515625" style="9" customWidth="1"/>
    <col min="2564" max="2564" width="8" style="9" customWidth="1"/>
    <col min="2565" max="2565" width="6.7109375" style="9" customWidth="1"/>
    <col min="2566" max="2567" width="12.7109375" style="9" customWidth="1"/>
    <col min="2568" max="2568" width="20.7109375" style="9" customWidth="1"/>
    <col min="2569" max="2569" width="12.7109375" style="9" customWidth="1"/>
    <col min="2570" max="2570" width="11.5703125" style="9" hidden="1" customWidth="1"/>
    <col min="2571" max="2573" width="12.7109375" style="9" customWidth="1"/>
    <col min="2574" max="2816" width="11.42578125" style="9"/>
    <col min="2817" max="2817" width="9.5703125" style="9" customWidth="1"/>
    <col min="2818" max="2818" width="50.7109375" style="9" customWidth="1"/>
    <col min="2819" max="2819" width="12.28515625" style="9" customWidth="1"/>
    <col min="2820" max="2820" width="8" style="9" customWidth="1"/>
    <col min="2821" max="2821" width="6.7109375" style="9" customWidth="1"/>
    <col min="2822" max="2823" width="12.7109375" style="9" customWidth="1"/>
    <col min="2824" max="2824" width="20.7109375" style="9" customWidth="1"/>
    <col min="2825" max="2825" width="12.7109375" style="9" customWidth="1"/>
    <col min="2826" max="2826" width="11.5703125" style="9" hidden="1" customWidth="1"/>
    <col min="2827" max="2829" width="12.7109375" style="9" customWidth="1"/>
    <col min="2830" max="3072" width="11.42578125" style="9"/>
    <col min="3073" max="3073" width="9.5703125" style="9" customWidth="1"/>
    <col min="3074" max="3074" width="50.7109375" style="9" customWidth="1"/>
    <col min="3075" max="3075" width="12.28515625" style="9" customWidth="1"/>
    <col min="3076" max="3076" width="8" style="9" customWidth="1"/>
    <col min="3077" max="3077" width="6.7109375" style="9" customWidth="1"/>
    <col min="3078" max="3079" width="12.7109375" style="9" customWidth="1"/>
    <col min="3080" max="3080" width="20.7109375" style="9" customWidth="1"/>
    <col min="3081" max="3081" width="12.7109375" style="9" customWidth="1"/>
    <col min="3082" max="3082" width="11.5703125" style="9" hidden="1" customWidth="1"/>
    <col min="3083" max="3085" width="12.7109375" style="9" customWidth="1"/>
    <col min="3086" max="3328" width="11.42578125" style="9"/>
    <col min="3329" max="3329" width="9.5703125" style="9" customWidth="1"/>
    <col min="3330" max="3330" width="50.7109375" style="9" customWidth="1"/>
    <col min="3331" max="3331" width="12.28515625" style="9" customWidth="1"/>
    <col min="3332" max="3332" width="8" style="9" customWidth="1"/>
    <col min="3333" max="3333" width="6.7109375" style="9" customWidth="1"/>
    <col min="3334" max="3335" width="12.7109375" style="9" customWidth="1"/>
    <col min="3336" max="3336" width="20.7109375" style="9" customWidth="1"/>
    <col min="3337" max="3337" width="12.7109375" style="9" customWidth="1"/>
    <col min="3338" max="3338" width="11.5703125" style="9" hidden="1" customWidth="1"/>
    <col min="3339" max="3341" width="12.7109375" style="9" customWidth="1"/>
    <col min="3342" max="3584" width="11.42578125" style="9"/>
    <col min="3585" max="3585" width="9.5703125" style="9" customWidth="1"/>
    <col min="3586" max="3586" width="50.7109375" style="9" customWidth="1"/>
    <col min="3587" max="3587" width="12.28515625" style="9" customWidth="1"/>
    <col min="3588" max="3588" width="8" style="9" customWidth="1"/>
    <col min="3589" max="3589" width="6.7109375" style="9" customWidth="1"/>
    <col min="3590" max="3591" width="12.7109375" style="9" customWidth="1"/>
    <col min="3592" max="3592" width="20.7109375" style="9" customWidth="1"/>
    <col min="3593" max="3593" width="12.7109375" style="9" customWidth="1"/>
    <col min="3594" max="3594" width="11.5703125" style="9" hidden="1" customWidth="1"/>
    <col min="3595" max="3597" width="12.7109375" style="9" customWidth="1"/>
    <col min="3598" max="3840" width="11.42578125" style="9"/>
    <col min="3841" max="3841" width="9.5703125" style="9" customWidth="1"/>
    <col min="3842" max="3842" width="50.7109375" style="9" customWidth="1"/>
    <col min="3843" max="3843" width="12.28515625" style="9" customWidth="1"/>
    <col min="3844" max="3844" width="8" style="9" customWidth="1"/>
    <col min="3845" max="3845" width="6.7109375" style="9" customWidth="1"/>
    <col min="3846" max="3847" width="12.7109375" style="9" customWidth="1"/>
    <col min="3848" max="3848" width="20.7109375" style="9" customWidth="1"/>
    <col min="3849" max="3849" width="12.7109375" style="9" customWidth="1"/>
    <col min="3850" max="3850" width="11.5703125" style="9" hidden="1" customWidth="1"/>
    <col min="3851" max="3853" width="12.7109375" style="9" customWidth="1"/>
    <col min="3854" max="4096" width="11.42578125" style="9"/>
    <col min="4097" max="4097" width="9.5703125" style="9" customWidth="1"/>
    <col min="4098" max="4098" width="50.7109375" style="9" customWidth="1"/>
    <col min="4099" max="4099" width="12.28515625" style="9" customWidth="1"/>
    <col min="4100" max="4100" width="8" style="9" customWidth="1"/>
    <col min="4101" max="4101" width="6.7109375" style="9" customWidth="1"/>
    <col min="4102" max="4103" width="12.7109375" style="9" customWidth="1"/>
    <col min="4104" max="4104" width="20.7109375" style="9" customWidth="1"/>
    <col min="4105" max="4105" width="12.7109375" style="9" customWidth="1"/>
    <col min="4106" max="4106" width="11.5703125" style="9" hidden="1" customWidth="1"/>
    <col min="4107" max="4109" width="12.7109375" style="9" customWidth="1"/>
    <col min="4110" max="4352" width="11.42578125" style="9"/>
    <col min="4353" max="4353" width="9.5703125" style="9" customWidth="1"/>
    <col min="4354" max="4354" width="50.7109375" style="9" customWidth="1"/>
    <col min="4355" max="4355" width="12.28515625" style="9" customWidth="1"/>
    <col min="4356" max="4356" width="8" style="9" customWidth="1"/>
    <col min="4357" max="4357" width="6.7109375" style="9" customWidth="1"/>
    <col min="4358" max="4359" width="12.7109375" style="9" customWidth="1"/>
    <col min="4360" max="4360" width="20.7109375" style="9" customWidth="1"/>
    <col min="4361" max="4361" width="12.7109375" style="9" customWidth="1"/>
    <col min="4362" max="4362" width="11.5703125" style="9" hidden="1" customWidth="1"/>
    <col min="4363" max="4365" width="12.7109375" style="9" customWidth="1"/>
    <col min="4366" max="4608" width="11.42578125" style="9"/>
    <col min="4609" max="4609" width="9.5703125" style="9" customWidth="1"/>
    <col min="4610" max="4610" width="50.7109375" style="9" customWidth="1"/>
    <col min="4611" max="4611" width="12.28515625" style="9" customWidth="1"/>
    <col min="4612" max="4612" width="8" style="9" customWidth="1"/>
    <col min="4613" max="4613" width="6.7109375" style="9" customWidth="1"/>
    <col min="4614" max="4615" width="12.7109375" style="9" customWidth="1"/>
    <col min="4616" max="4616" width="20.7109375" style="9" customWidth="1"/>
    <col min="4617" max="4617" width="12.7109375" style="9" customWidth="1"/>
    <col min="4618" max="4618" width="11.5703125" style="9" hidden="1" customWidth="1"/>
    <col min="4619" max="4621" width="12.7109375" style="9" customWidth="1"/>
    <col min="4622" max="4864" width="11.42578125" style="9"/>
    <col min="4865" max="4865" width="9.5703125" style="9" customWidth="1"/>
    <col min="4866" max="4866" width="50.7109375" style="9" customWidth="1"/>
    <col min="4867" max="4867" width="12.28515625" style="9" customWidth="1"/>
    <col min="4868" max="4868" width="8" style="9" customWidth="1"/>
    <col min="4869" max="4869" width="6.7109375" style="9" customWidth="1"/>
    <col min="4870" max="4871" width="12.7109375" style="9" customWidth="1"/>
    <col min="4872" max="4872" width="20.7109375" style="9" customWidth="1"/>
    <col min="4873" max="4873" width="12.7109375" style="9" customWidth="1"/>
    <col min="4874" max="4874" width="11.5703125" style="9" hidden="1" customWidth="1"/>
    <col min="4875" max="4877" width="12.7109375" style="9" customWidth="1"/>
    <col min="4878" max="5120" width="11.42578125" style="9"/>
    <col min="5121" max="5121" width="9.5703125" style="9" customWidth="1"/>
    <col min="5122" max="5122" width="50.7109375" style="9" customWidth="1"/>
    <col min="5123" max="5123" width="12.28515625" style="9" customWidth="1"/>
    <col min="5124" max="5124" width="8" style="9" customWidth="1"/>
    <col min="5125" max="5125" width="6.7109375" style="9" customWidth="1"/>
    <col min="5126" max="5127" width="12.7109375" style="9" customWidth="1"/>
    <col min="5128" max="5128" width="20.7109375" style="9" customWidth="1"/>
    <col min="5129" max="5129" width="12.7109375" style="9" customWidth="1"/>
    <col min="5130" max="5130" width="11.5703125" style="9" hidden="1" customWidth="1"/>
    <col min="5131" max="5133" width="12.7109375" style="9" customWidth="1"/>
    <col min="5134" max="5376" width="11.42578125" style="9"/>
    <col min="5377" max="5377" width="9.5703125" style="9" customWidth="1"/>
    <col min="5378" max="5378" width="50.7109375" style="9" customWidth="1"/>
    <col min="5379" max="5379" width="12.28515625" style="9" customWidth="1"/>
    <col min="5380" max="5380" width="8" style="9" customWidth="1"/>
    <col min="5381" max="5381" width="6.7109375" style="9" customWidth="1"/>
    <col min="5382" max="5383" width="12.7109375" style="9" customWidth="1"/>
    <col min="5384" max="5384" width="20.7109375" style="9" customWidth="1"/>
    <col min="5385" max="5385" width="12.7109375" style="9" customWidth="1"/>
    <col min="5386" max="5386" width="11.5703125" style="9" hidden="1" customWidth="1"/>
    <col min="5387" max="5389" width="12.7109375" style="9" customWidth="1"/>
    <col min="5390" max="5632" width="11.42578125" style="9"/>
    <col min="5633" max="5633" width="9.5703125" style="9" customWidth="1"/>
    <col min="5634" max="5634" width="50.7109375" style="9" customWidth="1"/>
    <col min="5635" max="5635" width="12.28515625" style="9" customWidth="1"/>
    <col min="5636" max="5636" width="8" style="9" customWidth="1"/>
    <col min="5637" max="5637" width="6.7109375" style="9" customWidth="1"/>
    <col min="5638" max="5639" width="12.7109375" style="9" customWidth="1"/>
    <col min="5640" max="5640" width="20.7109375" style="9" customWidth="1"/>
    <col min="5641" max="5641" width="12.7109375" style="9" customWidth="1"/>
    <col min="5642" max="5642" width="11.5703125" style="9" hidden="1" customWidth="1"/>
    <col min="5643" max="5645" width="12.7109375" style="9" customWidth="1"/>
    <col min="5646" max="5888" width="11.42578125" style="9"/>
    <col min="5889" max="5889" width="9.5703125" style="9" customWidth="1"/>
    <col min="5890" max="5890" width="50.7109375" style="9" customWidth="1"/>
    <col min="5891" max="5891" width="12.28515625" style="9" customWidth="1"/>
    <col min="5892" max="5892" width="8" style="9" customWidth="1"/>
    <col min="5893" max="5893" width="6.7109375" style="9" customWidth="1"/>
    <col min="5894" max="5895" width="12.7109375" style="9" customWidth="1"/>
    <col min="5896" max="5896" width="20.7109375" style="9" customWidth="1"/>
    <col min="5897" max="5897" width="12.7109375" style="9" customWidth="1"/>
    <col min="5898" max="5898" width="11.5703125" style="9" hidden="1" customWidth="1"/>
    <col min="5899" max="5901" width="12.7109375" style="9" customWidth="1"/>
    <col min="5902" max="6144" width="11.42578125" style="9"/>
    <col min="6145" max="6145" width="9.5703125" style="9" customWidth="1"/>
    <col min="6146" max="6146" width="50.7109375" style="9" customWidth="1"/>
    <col min="6147" max="6147" width="12.28515625" style="9" customWidth="1"/>
    <col min="6148" max="6148" width="8" style="9" customWidth="1"/>
    <col min="6149" max="6149" width="6.7109375" style="9" customWidth="1"/>
    <col min="6150" max="6151" width="12.7109375" style="9" customWidth="1"/>
    <col min="6152" max="6152" width="20.7109375" style="9" customWidth="1"/>
    <col min="6153" max="6153" width="12.7109375" style="9" customWidth="1"/>
    <col min="6154" max="6154" width="11.5703125" style="9" hidden="1" customWidth="1"/>
    <col min="6155" max="6157" width="12.7109375" style="9" customWidth="1"/>
    <col min="6158" max="6400" width="11.42578125" style="9"/>
    <col min="6401" max="6401" width="9.5703125" style="9" customWidth="1"/>
    <col min="6402" max="6402" width="50.7109375" style="9" customWidth="1"/>
    <col min="6403" max="6403" width="12.28515625" style="9" customWidth="1"/>
    <col min="6404" max="6404" width="8" style="9" customWidth="1"/>
    <col min="6405" max="6405" width="6.7109375" style="9" customWidth="1"/>
    <col min="6406" max="6407" width="12.7109375" style="9" customWidth="1"/>
    <col min="6408" max="6408" width="20.7109375" style="9" customWidth="1"/>
    <col min="6409" max="6409" width="12.7109375" style="9" customWidth="1"/>
    <col min="6410" max="6410" width="11.5703125" style="9" hidden="1" customWidth="1"/>
    <col min="6411" max="6413" width="12.7109375" style="9" customWidth="1"/>
    <col min="6414" max="6656" width="11.42578125" style="9"/>
    <col min="6657" max="6657" width="9.5703125" style="9" customWidth="1"/>
    <col min="6658" max="6658" width="50.7109375" style="9" customWidth="1"/>
    <col min="6659" max="6659" width="12.28515625" style="9" customWidth="1"/>
    <col min="6660" max="6660" width="8" style="9" customWidth="1"/>
    <col min="6661" max="6661" width="6.7109375" style="9" customWidth="1"/>
    <col min="6662" max="6663" width="12.7109375" style="9" customWidth="1"/>
    <col min="6664" max="6664" width="20.7109375" style="9" customWidth="1"/>
    <col min="6665" max="6665" width="12.7109375" style="9" customWidth="1"/>
    <col min="6666" max="6666" width="11.5703125" style="9" hidden="1" customWidth="1"/>
    <col min="6667" max="6669" width="12.7109375" style="9" customWidth="1"/>
    <col min="6670" max="6912" width="11.42578125" style="9"/>
    <col min="6913" max="6913" width="9.5703125" style="9" customWidth="1"/>
    <col min="6914" max="6914" width="50.7109375" style="9" customWidth="1"/>
    <col min="6915" max="6915" width="12.28515625" style="9" customWidth="1"/>
    <col min="6916" max="6916" width="8" style="9" customWidth="1"/>
    <col min="6917" max="6917" width="6.7109375" style="9" customWidth="1"/>
    <col min="6918" max="6919" width="12.7109375" style="9" customWidth="1"/>
    <col min="6920" max="6920" width="20.7109375" style="9" customWidth="1"/>
    <col min="6921" max="6921" width="12.7109375" style="9" customWidth="1"/>
    <col min="6922" max="6922" width="11.5703125" style="9" hidden="1" customWidth="1"/>
    <col min="6923" max="6925" width="12.7109375" style="9" customWidth="1"/>
    <col min="6926" max="7168" width="11.42578125" style="9"/>
    <col min="7169" max="7169" width="9.5703125" style="9" customWidth="1"/>
    <col min="7170" max="7170" width="50.7109375" style="9" customWidth="1"/>
    <col min="7171" max="7171" width="12.28515625" style="9" customWidth="1"/>
    <col min="7172" max="7172" width="8" style="9" customWidth="1"/>
    <col min="7173" max="7173" width="6.7109375" style="9" customWidth="1"/>
    <col min="7174" max="7175" width="12.7109375" style="9" customWidth="1"/>
    <col min="7176" max="7176" width="20.7109375" style="9" customWidth="1"/>
    <col min="7177" max="7177" width="12.7109375" style="9" customWidth="1"/>
    <col min="7178" max="7178" width="11.5703125" style="9" hidden="1" customWidth="1"/>
    <col min="7179" max="7181" width="12.7109375" style="9" customWidth="1"/>
    <col min="7182" max="7424" width="11.42578125" style="9"/>
    <col min="7425" max="7425" width="9.5703125" style="9" customWidth="1"/>
    <col min="7426" max="7426" width="50.7109375" style="9" customWidth="1"/>
    <col min="7427" max="7427" width="12.28515625" style="9" customWidth="1"/>
    <col min="7428" max="7428" width="8" style="9" customWidth="1"/>
    <col min="7429" max="7429" width="6.7109375" style="9" customWidth="1"/>
    <col min="7430" max="7431" width="12.7109375" style="9" customWidth="1"/>
    <col min="7432" max="7432" width="20.7109375" style="9" customWidth="1"/>
    <col min="7433" max="7433" width="12.7109375" style="9" customWidth="1"/>
    <col min="7434" max="7434" width="11.5703125" style="9" hidden="1" customWidth="1"/>
    <col min="7435" max="7437" width="12.7109375" style="9" customWidth="1"/>
    <col min="7438" max="7680" width="11.42578125" style="9"/>
    <col min="7681" max="7681" width="9.5703125" style="9" customWidth="1"/>
    <col min="7682" max="7682" width="50.7109375" style="9" customWidth="1"/>
    <col min="7683" max="7683" width="12.28515625" style="9" customWidth="1"/>
    <col min="7684" max="7684" width="8" style="9" customWidth="1"/>
    <col min="7685" max="7685" width="6.7109375" style="9" customWidth="1"/>
    <col min="7686" max="7687" width="12.7109375" style="9" customWidth="1"/>
    <col min="7688" max="7688" width="20.7109375" style="9" customWidth="1"/>
    <col min="7689" max="7689" width="12.7109375" style="9" customWidth="1"/>
    <col min="7690" max="7690" width="11.5703125" style="9" hidden="1" customWidth="1"/>
    <col min="7691" max="7693" width="12.7109375" style="9" customWidth="1"/>
    <col min="7694" max="7936" width="11.42578125" style="9"/>
    <col min="7937" max="7937" width="9.5703125" style="9" customWidth="1"/>
    <col min="7938" max="7938" width="50.7109375" style="9" customWidth="1"/>
    <col min="7939" max="7939" width="12.28515625" style="9" customWidth="1"/>
    <col min="7940" max="7940" width="8" style="9" customWidth="1"/>
    <col min="7941" max="7941" width="6.7109375" style="9" customWidth="1"/>
    <col min="7942" max="7943" width="12.7109375" style="9" customWidth="1"/>
    <col min="7944" max="7944" width="20.7109375" style="9" customWidth="1"/>
    <col min="7945" max="7945" width="12.7109375" style="9" customWidth="1"/>
    <col min="7946" max="7946" width="11.5703125" style="9" hidden="1" customWidth="1"/>
    <col min="7947" max="7949" width="12.7109375" style="9" customWidth="1"/>
    <col min="7950" max="8192" width="11.42578125" style="9"/>
    <col min="8193" max="8193" width="9.5703125" style="9" customWidth="1"/>
    <col min="8194" max="8194" width="50.7109375" style="9" customWidth="1"/>
    <col min="8195" max="8195" width="12.28515625" style="9" customWidth="1"/>
    <col min="8196" max="8196" width="8" style="9" customWidth="1"/>
    <col min="8197" max="8197" width="6.7109375" style="9" customWidth="1"/>
    <col min="8198" max="8199" width="12.7109375" style="9" customWidth="1"/>
    <col min="8200" max="8200" width="20.7109375" style="9" customWidth="1"/>
    <col min="8201" max="8201" width="12.7109375" style="9" customWidth="1"/>
    <col min="8202" max="8202" width="11.5703125" style="9" hidden="1" customWidth="1"/>
    <col min="8203" max="8205" width="12.7109375" style="9" customWidth="1"/>
    <col min="8206" max="8448" width="11.42578125" style="9"/>
    <col min="8449" max="8449" width="9.5703125" style="9" customWidth="1"/>
    <col min="8450" max="8450" width="50.7109375" style="9" customWidth="1"/>
    <col min="8451" max="8451" width="12.28515625" style="9" customWidth="1"/>
    <col min="8452" max="8452" width="8" style="9" customWidth="1"/>
    <col min="8453" max="8453" width="6.7109375" style="9" customWidth="1"/>
    <col min="8454" max="8455" width="12.7109375" style="9" customWidth="1"/>
    <col min="8456" max="8456" width="20.7109375" style="9" customWidth="1"/>
    <col min="8457" max="8457" width="12.7109375" style="9" customWidth="1"/>
    <col min="8458" max="8458" width="11.5703125" style="9" hidden="1" customWidth="1"/>
    <col min="8459" max="8461" width="12.7109375" style="9" customWidth="1"/>
    <col min="8462" max="8704" width="11.42578125" style="9"/>
    <col min="8705" max="8705" width="9.5703125" style="9" customWidth="1"/>
    <col min="8706" max="8706" width="50.7109375" style="9" customWidth="1"/>
    <col min="8707" max="8707" width="12.28515625" style="9" customWidth="1"/>
    <col min="8708" max="8708" width="8" style="9" customWidth="1"/>
    <col min="8709" max="8709" width="6.7109375" style="9" customWidth="1"/>
    <col min="8710" max="8711" width="12.7109375" style="9" customWidth="1"/>
    <col min="8712" max="8712" width="20.7109375" style="9" customWidth="1"/>
    <col min="8713" max="8713" width="12.7109375" style="9" customWidth="1"/>
    <col min="8714" max="8714" width="11.5703125" style="9" hidden="1" customWidth="1"/>
    <col min="8715" max="8717" width="12.7109375" style="9" customWidth="1"/>
    <col min="8718" max="8960" width="11.42578125" style="9"/>
    <col min="8961" max="8961" width="9.5703125" style="9" customWidth="1"/>
    <col min="8962" max="8962" width="50.7109375" style="9" customWidth="1"/>
    <col min="8963" max="8963" width="12.28515625" style="9" customWidth="1"/>
    <col min="8964" max="8964" width="8" style="9" customWidth="1"/>
    <col min="8965" max="8965" width="6.7109375" style="9" customWidth="1"/>
    <col min="8966" max="8967" width="12.7109375" style="9" customWidth="1"/>
    <col min="8968" max="8968" width="20.7109375" style="9" customWidth="1"/>
    <col min="8969" max="8969" width="12.7109375" style="9" customWidth="1"/>
    <col min="8970" max="8970" width="11.5703125" style="9" hidden="1" customWidth="1"/>
    <col min="8971" max="8973" width="12.7109375" style="9" customWidth="1"/>
    <col min="8974" max="9216" width="11.42578125" style="9"/>
    <col min="9217" max="9217" width="9.5703125" style="9" customWidth="1"/>
    <col min="9218" max="9218" width="50.7109375" style="9" customWidth="1"/>
    <col min="9219" max="9219" width="12.28515625" style="9" customWidth="1"/>
    <col min="9220" max="9220" width="8" style="9" customWidth="1"/>
    <col min="9221" max="9221" width="6.7109375" style="9" customWidth="1"/>
    <col min="9222" max="9223" width="12.7109375" style="9" customWidth="1"/>
    <col min="9224" max="9224" width="20.7109375" style="9" customWidth="1"/>
    <col min="9225" max="9225" width="12.7109375" style="9" customWidth="1"/>
    <col min="9226" max="9226" width="11.5703125" style="9" hidden="1" customWidth="1"/>
    <col min="9227" max="9229" width="12.7109375" style="9" customWidth="1"/>
    <col min="9230" max="9472" width="11.42578125" style="9"/>
    <col min="9473" max="9473" width="9.5703125" style="9" customWidth="1"/>
    <col min="9474" max="9474" width="50.7109375" style="9" customWidth="1"/>
    <col min="9475" max="9475" width="12.28515625" style="9" customWidth="1"/>
    <col min="9476" max="9476" width="8" style="9" customWidth="1"/>
    <col min="9477" max="9477" width="6.7109375" style="9" customWidth="1"/>
    <col min="9478" max="9479" width="12.7109375" style="9" customWidth="1"/>
    <col min="9480" max="9480" width="20.7109375" style="9" customWidth="1"/>
    <col min="9481" max="9481" width="12.7109375" style="9" customWidth="1"/>
    <col min="9482" max="9482" width="11.5703125" style="9" hidden="1" customWidth="1"/>
    <col min="9483" max="9485" width="12.7109375" style="9" customWidth="1"/>
    <col min="9486" max="9728" width="11.42578125" style="9"/>
    <col min="9729" max="9729" width="9.5703125" style="9" customWidth="1"/>
    <col min="9730" max="9730" width="50.7109375" style="9" customWidth="1"/>
    <col min="9731" max="9731" width="12.28515625" style="9" customWidth="1"/>
    <col min="9732" max="9732" width="8" style="9" customWidth="1"/>
    <col min="9733" max="9733" width="6.7109375" style="9" customWidth="1"/>
    <col min="9734" max="9735" width="12.7109375" style="9" customWidth="1"/>
    <col min="9736" max="9736" width="20.7109375" style="9" customWidth="1"/>
    <col min="9737" max="9737" width="12.7109375" style="9" customWidth="1"/>
    <col min="9738" max="9738" width="11.5703125" style="9" hidden="1" customWidth="1"/>
    <col min="9739" max="9741" width="12.7109375" style="9" customWidth="1"/>
    <col min="9742" max="9984" width="11.42578125" style="9"/>
    <col min="9985" max="9985" width="9.5703125" style="9" customWidth="1"/>
    <col min="9986" max="9986" width="50.7109375" style="9" customWidth="1"/>
    <col min="9987" max="9987" width="12.28515625" style="9" customWidth="1"/>
    <col min="9988" max="9988" width="8" style="9" customWidth="1"/>
    <col min="9989" max="9989" width="6.7109375" style="9" customWidth="1"/>
    <col min="9990" max="9991" width="12.7109375" style="9" customWidth="1"/>
    <col min="9992" max="9992" width="20.7109375" style="9" customWidth="1"/>
    <col min="9993" max="9993" width="12.7109375" style="9" customWidth="1"/>
    <col min="9994" max="9994" width="11.5703125" style="9" hidden="1" customWidth="1"/>
    <col min="9995" max="9997" width="12.7109375" style="9" customWidth="1"/>
    <col min="9998" max="10240" width="11.42578125" style="9"/>
    <col min="10241" max="10241" width="9.5703125" style="9" customWidth="1"/>
    <col min="10242" max="10242" width="50.7109375" style="9" customWidth="1"/>
    <col min="10243" max="10243" width="12.28515625" style="9" customWidth="1"/>
    <col min="10244" max="10244" width="8" style="9" customWidth="1"/>
    <col min="10245" max="10245" width="6.7109375" style="9" customWidth="1"/>
    <col min="10246" max="10247" width="12.7109375" style="9" customWidth="1"/>
    <col min="10248" max="10248" width="20.7109375" style="9" customWidth="1"/>
    <col min="10249" max="10249" width="12.7109375" style="9" customWidth="1"/>
    <col min="10250" max="10250" width="11.5703125" style="9" hidden="1" customWidth="1"/>
    <col min="10251" max="10253" width="12.7109375" style="9" customWidth="1"/>
    <col min="10254" max="10496" width="11.42578125" style="9"/>
    <col min="10497" max="10497" width="9.5703125" style="9" customWidth="1"/>
    <col min="10498" max="10498" width="50.7109375" style="9" customWidth="1"/>
    <col min="10499" max="10499" width="12.28515625" style="9" customWidth="1"/>
    <col min="10500" max="10500" width="8" style="9" customWidth="1"/>
    <col min="10501" max="10501" width="6.7109375" style="9" customWidth="1"/>
    <col min="10502" max="10503" width="12.7109375" style="9" customWidth="1"/>
    <col min="10504" max="10504" width="20.7109375" style="9" customWidth="1"/>
    <col min="10505" max="10505" width="12.7109375" style="9" customWidth="1"/>
    <col min="10506" max="10506" width="11.5703125" style="9" hidden="1" customWidth="1"/>
    <col min="10507" max="10509" width="12.7109375" style="9" customWidth="1"/>
    <col min="10510" max="10752" width="11.42578125" style="9"/>
    <col min="10753" max="10753" width="9.5703125" style="9" customWidth="1"/>
    <col min="10754" max="10754" width="50.7109375" style="9" customWidth="1"/>
    <col min="10755" max="10755" width="12.28515625" style="9" customWidth="1"/>
    <col min="10756" max="10756" width="8" style="9" customWidth="1"/>
    <col min="10757" max="10757" width="6.7109375" style="9" customWidth="1"/>
    <col min="10758" max="10759" width="12.7109375" style="9" customWidth="1"/>
    <col min="10760" max="10760" width="20.7109375" style="9" customWidth="1"/>
    <col min="10761" max="10761" width="12.7109375" style="9" customWidth="1"/>
    <col min="10762" max="10762" width="11.5703125" style="9" hidden="1" customWidth="1"/>
    <col min="10763" max="10765" width="12.7109375" style="9" customWidth="1"/>
    <col min="10766" max="11008" width="11.42578125" style="9"/>
    <col min="11009" max="11009" width="9.5703125" style="9" customWidth="1"/>
    <col min="11010" max="11010" width="50.7109375" style="9" customWidth="1"/>
    <col min="11011" max="11011" width="12.28515625" style="9" customWidth="1"/>
    <col min="11012" max="11012" width="8" style="9" customWidth="1"/>
    <col min="11013" max="11013" width="6.7109375" style="9" customWidth="1"/>
    <col min="11014" max="11015" width="12.7109375" style="9" customWidth="1"/>
    <col min="11016" max="11016" width="20.7109375" style="9" customWidth="1"/>
    <col min="11017" max="11017" width="12.7109375" style="9" customWidth="1"/>
    <col min="11018" max="11018" width="11.5703125" style="9" hidden="1" customWidth="1"/>
    <col min="11019" max="11021" width="12.7109375" style="9" customWidth="1"/>
    <col min="11022" max="11264" width="11.42578125" style="9"/>
    <col min="11265" max="11265" width="9.5703125" style="9" customWidth="1"/>
    <col min="11266" max="11266" width="50.7109375" style="9" customWidth="1"/>
    <col min="11267" max="11267" width="12.28515625" style="9" customWidth="1"/>
    <col min="11268" max="11268" width="8" style="9" customWidth="1"/>
    <col min="11269" max="11269" width="6.7109375" style="9" customWidth="1"/>
    <col min="11270" max="11271" width="12.7109375" style="9" customWidth="1"/>
    <col min="11272" max="11272" width="20.7109375" style="9" customWidth="1"/>
    <col min="11273" max="11273" width="12.7109375" style="9" customWidth="1"/>
    <col min="11274" max="11274" width="11.5703125" style="9" hidden="1" customWidth="1"/>
    <col min="11275" max="11277" width="12.7109375" style="9" customWidth="1"/>
    <col min="11278" max="11520" width="11.42578125" style="9"/>
    <col min="11521" max="11521" width="9.5703125" style="9" customWidth="1"/>
    <col min="11522" max="11522" width="50.7109375" style="9" customWidth="1"/>
    <col min="11523" max="11523" width="12.28515625" style="9" customWidth="1"/>
    <col min="11524" max="11524" width="8" style="9" customWidth="1"/>
    <col min="11525" max="11525" width="6.7109375" style="9" customWidth="1"/>
    <col min="11526" max="11527" width="12.7109375" style="9" customWidth="1"/>
    <col min="11528" max="11528" width="20.7109375" style="9" customWidth="1"/>
    <col min="11529" max="11529" width="12.7109375" style="9" customWidth="1"/>
    <col min="11530" max="11530" width="11.5703125" style="9" hidden="1" customWidth="1"/>
    <col min="11531" max="11533" width="12.7109375" style="9" customWidth="1"/>
    <col min="11534" max="11776" width="11.42578125" style="9"/>
    <col min="11777" max="11777" width="9.5703125" style="9" customWidth="1"/>
    <col min="11778" max="11778" width="50.7109375" style="9" customWidth="1"/>
    <col min="11779" max="11779" width="12.28515625" style="9" customWidth="1"/>
    <col min="11780" max="11780" width="8" style="9" customWidth="1"/>
    <col min="11781" max="11781" width="6.7109375" style="9" customWidth="1"/>
    <col min="11782" max="11783" width="12.7109375" style="9" customWidth="1"/>
    <col min="11784" max="11784" width="20.7109375" style="9" customWidth="1"/>
    <col min="11785" max="11785" width="12.7109375" style="9" customWidth="1"/>
    <col min="11786" max="11786" width="11.5703125" style="9" hidden="1" customWidth="1"/>
    <col min="11787" max="11789" width="12.7109375" style="9" customWidth="1"/>
    <col min="11790" max="12032" width="11.42578125" style="9"/>
    <col min="12033" max="12033" width="9.5703125" style="9" customWidth="1"/>
    <col min="12034" max="12034" width="50.7109375" style="9" customWidth="1"/>
    <col min="12035" max="12035" width="12.28515625" style="9" customWidth="1"/>
    <col min="12036" max="12036" width="8" style="9" customWidth="1"/>
    <col min="12037" max="12037" width="6.7109375" style="9" customWidth="1"/>
    <col min="12038" max="12039" width="12.7109375" style="9" customWidth="1"/>
    <col min="12040" max="12040" width="20.7109375" style="9" customWidth="1"/>
    <col min="12041" max="12041" width="12.7109375" style="9" customWidth="1"/>
    <col min="12042" max="12042" width="11.5703125" style="9" hidden="1" customWidth="1"/>
    <col min="12043" max="12045" width="12.7109375" style="9" customWidth="1"/>
    <col min="12046" max="12288" width="11.42578125" style="9"/>
    <col min="12289" max="12289" width="9.5703125" style="9" customWidth="1"/>
    <col min="12290" max="12290" width="50.7109375" style="9" customWidth="1"/>
    <col min="12291" max="12291" width="12.28515625" style="9" customWidth="1"/>
    <col min="12292" max="12292" width="8" style="9" customWidth="1"/>
    <col min="12293" max="12293" width="6.7109375" style="9" customWidth="1"/>
    <col min="12294" max="12295" width="12.7109375" style="9" customWidth="1"/>
    <col min="12296" max="12296" width="20.7109375" style="9" customWidth="1"/>
    <col min="12297" max="12297" width="12.7109375" style="9" customWidth="1"/>
    <col min="12298" max="12298" width="11.5703125" style="9" hidden="1" customWidth="1"/>
    <col min="12299" max="12301" width="12.7109375" style="9" customWidth="1"/>
    <col min="12302" max="12544" width="11.42578125" style="9"/>
    <col min="12545" max="12545" width="9.5703125" style="9" customWidth="1"/>
    <col min="12546" max="12546" width="50.7109375" style="9" customWidth="1"/>
    <col min="12547" max="12547" width="12.28515625" style="9" customWidth="1"/>
    <col min="12548" max="12548" width="8" style="9" customWidth="1"/>
    <col min="12549" max="12549" width="6.7109375" style="9" customWidth="1"/>
    <col min="12550" max="12551" width="12.7109375" style="9" customWidth="1"/>
    <col min="12552" max="12552" width="20.7109375" style="9" customWidth="1"/>
    <col min="12553" max="12553" width="12.7109375" style="9" customWidth="1"/>
    <col min="12554" max="12554" width="11.5703125" style="9" hidden="1" customWidth="1"/>
    <col min="12555" max="12557" width="12.7109375" style="9" customWidth="1"/>
    <col min="12558" max="12800" width="11.42578125" style="9"/>
    <col min="12801" max="12801" width="9.5703125" style="9" customWidth="1"/>
    <col min="12802" max="12802" width="50.7109375" style="9" customWidth="1"/>
    <col min="12803" max="12803" width="12.28515625" style="9" customWidth="1"/>
    <col min="12804" max="12804" width="8" style="9" customWidth="1"/>
    <col min="12805" max="12805" width="6.7109375" style="9" customWidth="1"/>
    <col min="12806" max="12807" width="12.7109375" style="9" customWidth="1"/>
    <col min="12808" max="12808" width="20.7109375" style="9" customWidth="1"/>
    <col min="12809" max="12809" width="12.7109375" style="9" customWidth="1"/>
    <col min="12810" max="12810" width="11.5703125" style="9" hidden="1" customWidth="1"/>
    <col min="12811" max="12813" width="12.7109375" style="9" customWidth="1"/>
    <col min="12814" max="13056" width="11.42578125" style="9"/>
    <col min="13057" max="13057" width="9.5703125" style="9" customWidth="1"/>
    <col min="13058" max="13058" width="50.7109375" style="9" customWidth="1"/>
    <col min="13059" max="13059" width="12.28515625" style="9" customWidth="1"/>
    <col min="13060" max="13060" width="8" style="9" customWidth="1"/>
    <col min="13061" max="13061" width="6.7109375" style="9" customWidth="1"/>
    <col min="13062" max="13063" width="12.7109375" style="9" customWidth="1"/>
    <col min="13064" max="13064" width="20.7109375" style="9" customWidth="1"/>
    <col min="13065" max="13065" width="12.7109375" style="9" customWidth="1"/>
    <col min="13066" max="13066" width="11.5703125" style="9" hidden="1" customWidth="1"/>
    <col min="13067" max="13069" width="12.7109375" style="9" customWidth="1"/>
    <col min="13070" max="13312" width="11.42578125" style="9"/>
    <col min="13313" max="13313" width="9.5703125" style="9" customWidth="1"/>
    <col min="13314" max="13314" width="50.7109375" style="9" customWidth="1"/>
    <col min="13315" max="13315" width="12.28515625" style="9" customWidth="1"/>
    <col min="13316" max="13316" width="8" style="9" customWidth="1"/>
    <col min="13317" max="13317" width="6.7109375" style="9" customWidth="1"/>
    <col min="13318" max="13319" width="12.7109375" style="9" customWidth="1"/>
    <col min="13320" max="13320" width="20.7109375" style="9" customWidth="1"/>
    <col min="13321" max="13321" width="12.7109375" style="9" customWidth="1"/>
    <col min="13322" max="13322" width="11.5703125" style="9" hidden="1" customWidth="1"/>
    <col min="13323" max="13325" width="12.7109375" style="9" customWidth="1"/>
    <col min="13326" max="13568" width="11.42578125" style="9"/>
    <col min="13569" max="13569" width="9.5703125" style="9" customWidth="1"/>
    <col min="13570" max="13570" width="50.7109375" style="9" customWidth="1"/>
    <col min="13571" max="13571" width="12.28515625" style="9" customWidth="1"/>
    <col min="13572" max="13572" width="8" style="9" customWidth="1"/>
    <col min="13573" max="13573" width="6.7109375" style="9" customWidth="1"/>
    <col min="13574" max="13575" width="12.7109375" style="9" customWidth="1"/>
    <col min="13576" max="13576" width="20.7109375" style="9" customWidth="1"/>
    <col min="13577" max="13577" width="12.7109375" style="9" customWidth="1"/>
    <col min="13578" max="13578" width="11.5703125" style="9" hidden="1" customWidth="1"/>
    <col min="13579" max="13581" width="12.7109375" style="9" customWidth="1"/>
    <col min="13582" max="13824" width="11.42578125" style="9"/>
    <col min="13825" max="13825" width="9.5703125" style="9" customWidth="1"/>
    <col min="13826" max="13826" width="50.7109375" style="9" customWidth="1"/>
    <col min="13827" max="13827" width="12.28515625" style="9" customWidth="1"/>
    <col min="13828" max="13828" width="8" style="9" customWidth="1"/>
    <col min="13829" max="13829" width="6.7109375" style="9" customWidth="1"/>
    <col min="13830" max="13831" width="12.7109375" style="9" customWidth="1"/>
    <col min="13832" max="13832" width="20.7109375" style="9" customWidth="1"/>
    <col min="13833" max="13833" width="12.7109375" style="9" customWidth="1"/>
    <col min="13834" max="13834" width="11.5703125" style="9" hidden="1" customWidth="1"/>
    <col min="13835" max="13837" width="12.7109375" style="9" customWidth="1"/>
    <col min="13838" max="14080" width="11.42578125" style="9"/>
    <col min="14081" max="14081" width="9.5703125" style="9" customWidth="1"/>
    <col min="14082" max="14082" width="50.7109375" style="9" customWidth="1"/>
    <col min="14083" max="14083" width="12.28515625" style="9" customWidth="1"/>
    <col min="14084" max="14084" width="8" style="9" customWidth="1"/>
    <col min="14085" max="14085" width="6.7109375" style="9" customWidth="1"/>
    <col min="14086" max="14087" width="12.7109375" style="9" customWidth="1"/>
    <col min="14088" max="14088" width="20.7109375" style="9" customWidth="1"/>
    <col min="14089" max="14089" width="12.7109375" style="9" customWidth="1"/>
    <col min="14090" max="14090" width="11.5703125" style="9" hidden="1" customWidth="1"/>
    <col min="14091" max="14093" width="12.7109375" style="9" customWidth="1"/>
    <col min="14094" max="14336" width="11.42578125" style="9"/>
    <col min="14337" max="14337" width="9.5703125" style="9" customWidth="1"/>
    <col min="14338" max="14338" width="50.7109375" style="9" customWidth="1"/>
    <col min="14339" max="14339" width="12.28515625" style="9" customWidth="1"/>
    <col min="14340" max="14340" width="8" style="9" customWidth="1"/>
    <col min="14341" max="14341" width="6.7109375" style="9" customWidth="1"/>
    <col min="14342" max="14343" width="12.7109375" style="9" customWidth="1"/>
    <col min="14344" max="14344" width="20.7109375" style="9" customWidth="1"/>
    <col min="14345" max="14345" width="12.7109375" style="9" customWidth="1"/>
    <col min="14346" max="14346" width="11.5703125" style="9" hidden="1" customWidth="1"/>
    <col min="14347" max="14349" width="12.7109375" style="9" customWidth="1"/>
    <col min="14350" max="14592" width="11.42578125" style="9"/>
    <col min="14593" max="14593" width="9.5703125" style="9" customWidth="1"/>
    <col min="14594" max="14594" width="50.7109375" style="9" customWidth="1"/>
    <col min="14595" max="14595" width="12.28515625" style="9" customWidth="1"/>
    <col min="14596" max="14596" width="8" style="9" customWidth="1"/>
    <col min="14597" max="14597" width="6.7109375" style="9" customWidth="1"/>
    <col min="14598" max="14599" width="12.7109375" style="9" customWidth="1"/>
    <col min="14600" max="14600" width="20.7109375" style="9" customWidth="1"/>
    <col min="14601" max="14601" width="12.7109375" style="9" customWidth="1"/>
    <col min="14602" max="14602" width="11.5703125" style="9" hidden="1" customWidth="1"/>
    <col min="14603" max="14605" width="12.7109375" style="9" customWidth="1"/>
    <col min="14606" max="14848" width="11.42578125" style="9"/>
    <col min="14849" max="14849" width="9.5703125" style="9" customWidth="1"/>
    <col min="14850" max="14850" width="50.7109375" style="9" customWidth="1"/>
    <col min="14851" max="14851" width="12.28515625" style="9" customWidth="1"/>
    <col min="14852" max="14852" width="8" style="9" customWidth="1"/>
    <col min="14853" max="14853" width="6.7109375" style="9" customWidth="1"/>
    <col min="14854" max="14855" width="12.7109375" style="9" customWidth="1"/>
    <col min="14856" max="14856" width="20.7109375" style="9" customWidth="1"/>
    <col min="14857" max="14857" width="12.7109375" style="9" customWidth="1"/>
    <col min="14858" max="14858" width="11.5703125" style="9" hidden="1" customWidth="1"/>
    <col min="14859" max="14861" width="12.7109375" style="9" customWidth="1"/>
    <col min="14862" max="15104" width="11.42578125" style="9"/>
    <col min="15105" max="15105" width="9.5703125" style="9" customWidth="1"/>
    <col min="15106" max="15106" width="50.7109375" style="9" customWidth="1"/>
    <col min="15107" max="15107" width="12.28515625" style="9" customWidth="1"/>
    <col min="15108" max="15108" width="8" style="9" customWidth="1"/>
    <col min="15109" max="15109" width="6.7109375" style="9" customWidth="1"/>
    <col min="15110" max="15111" width="12.7109375" style="9" customWidth="1"/>
    <col min="15112" max="15112" width="20.7109375" style="9" customWidth="1"/>
    <col min="15113" max="15113" width="12.7109375" style="9" customWidth="1"/>
    <col min="15114" max="15114" width="11.5703125" style="9" hidden="1" customWidth="1"/>
    <col min="15115" max="15117" width="12.7109375" style="9" customWidth="1"/>
    <col min="15118" max="15360" width="11.42578125" style="9"/>
    <col min="15361" max="15361" width="9.5703125" style="9" customWidth="1"/>
    <col min="15362" max="15362" width="50.7109375" style="9" customWidth="1"/>
    <col min="15363" max="15363" width="12.28515625" style="9" customWidth="1"/>
    <col min="15364" max="15364" width="8" style="9" customWidth="1"/>
    <col min="15365" max="15365" width="6.7109375" style="9" customWidth="1"/>
    <col min="15366" max="15367" width="12.7109375" style="9" customWidth="1"/>
    <col min="15368" max="15368" width="20.7109375" style="9" customWidth="1"/>
    <col min="15369" max="15369" width="12.7109375" style="9" customWidth="1"/>
    <col min="15370" max="15370" width="11.5703125" style="9" hidden="1" customWidth="1"/>
    <col min="15371" max="15373" width="12.7109375" style="9" customWidth="1"/>
    <col min="15374" max="15616" width="11.42578125" style="9"/>
    <col min="15617" max="15617" width="9.5703125" style="9" customWidth="1"/>
    <col min="15618" max="15618" width="50.7109375" style="9" customWidth="1"/>
    <col min="15619" max="15619" width="12.28515625" style="9" customWidth="1"/>
    <col min="15620" max="15620" width="8" style="9" customWidth="1"/>
    <col min="15621" max="15621" width="6.7109375" style="9" customWidth="1"/>
    <col min="15622" max="15623" width="12.7109375" style="9" customWidth="1"/>
    <col min="15624" max="15624" width="20.7109375" style="9" customWidth="1"/>
    <col min="15625" max="15625" width="12.7109375" style="9" customWidth="1"/>
    <col min="15626" max="15626" width="11.5703125" style="9" hidden="1" customWidth="1"/>
    <col min="15627" max="15629" width="12.7109375" style="9" customWidth="1"/>
    <col min="15630" max="15872" width="11.42578125" style="9"/>
    <col min="15873" max="15873" width="9.5703125" style="9" customWidth="1"/>
    <col min="15874" max="15874" width="50.7109375" style="9" customWidth="1"/>
    <col min="15875" max="15875" width="12.28515625" style="9" customWidth="1"/>
    <col min="15876" max="15876" width="8" style="9" customWidth="1"/>
    <col min="15877" max="15877" width="6.7109375" style="9" customWidth="1"/>
    <col min="15878" max="15879" width="12.7109375" style="9" customWidth="1"/>
    <col min="15880" max="15880" width="20.7109375" style="9" customWidth="1"/>
    <col min="15881" max="15881" width="12.7109375" style="9" customWidth="1"/>
    <col min="15882" max="15882" width="11.5703125" style="9" hidden="1" customWidth="1"/>
    <col min="15883" max="15885" width="12.7109375" style="9" customWidth="1"/>
    <col min="15886" max="16128" width="11.42578125" style="9"/>
    <col min="16129" max="16129" width="9.5703125" style="9" customWidth="1"/>
    <col min="16130" max="16130" width="50.7109375" style="9" customWidth="1"/>
    <col min="16131" max="16131" width="12.28515625" style="9" customWidth="1"/>
    <col min="16132" max="16132" width="8" style="9" customWidth="1"/>
    <col min="16133" max="16133" width="6.7109375" style="9" customWidth="1"/>
    <col min="16134" max="16135" width="12.7109375" style="9" customWidth="1"/>
    <col min="16136" max="16136" width="20.7109375" style="9" customWidth="1"/>
    <col min="16137" max="16137" width="12.7109375" style="9" customWidth="1"/>
    <col min="16138" max="16138" width="11.5703125" style="9" hidden="1" customWidth="1"/>
    <col min="16139" max="16141" width="12.7109375" style="9" customWidth="1"/>
    <col min="16142" max="16384" width="11.42578125" style="9"/>
  </cols>
  <sheetData>
    <row r="1" spans="1:19" ht="32.25" customHeight="1" x14ac:dyDescent="0.2">
      <c r="A1" s="73"/>
      <c r="B1" s="73"/>
      <c r="C1" s="74" t="s">
        <v>0</v>
      </c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9" s="10" customFormat="1" ht="32.25" customHeight="1" x14ac:dyDescent="0.2">
      <c r="A2" s="73"/>
      <c r="B2" s="73"/>
      <c r="C2" s="75" t="s">
        <v>679</v>
      </c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9" ht="32.25" customHeight="1" x14ac:dyDescent="0.2">
      <c r="A3" s="73"/>
      <c r="B3" s="73"/>
      <c r="C3" s="76" t="s">
        <v>680</v>
      </c>
      <c r="D3" s="76"/>
      <c r="E3" s="76"/>
      <c r="F3" s="76"/>
      <c r="G3" s="76"/>
      <c r="H3" s="76"/>
      <c r="I3" s="76"/>
      <c r="J3" s="11"/>
      <c r="K3" s="11" t="s">
        <v>67</v>
      </c>
      <c r="L3" s="11" t="s">
        <v>681</v>
      </c>
      <c r="M3" s="11" t="s">
        <v>2</v>
      </c>
      <c r="N3" s="12"/>
      <c r="O3" s="12"/>
      <c r="P3" s="12"/>
      <c r="Q3" s="12"/>
      <c r="R3" s="12"/>
      <c r="S3" s="12"/>
    </row>
    <row r="4" spans="1:19" ht="6.75" customHeight="1" x14ac:dyDescent="0.45">
      <c r="A4" s="13"/>
      <c r="B4" s="14"/>
      <c r="C4" s="15"/>
      <c r="D4" s="16"/>
      <c r="E4" s="17"/>
      <c r="F4" s="16"/>
      <c r="G4" s="18"/>
      <c r="H4" s="19"/>
      <c r="I4" s="20"/>
      <c r="J4" s="21"/>
      <c r="K4" s="22"/>
      <c r="L4" s="23"/>
      <c r="M4" s="24"/>
    </row>
    <row r="5" spans="1:19" s="33" customFormat="1" ht="24" customHeight="1" x14ac:dyDescent="0.2">
      <c r="A5" s="25"/>
      <c r="B5" s="26"/>
      <c r="C5" s="27"/>
      <c r="D5" s="28"/>
      <c r="E5" s="29"/>
      <c r="F5" s="28"/>
      <c r="G5" s="29"/>
      <c r="H5" s="30"/>
      <c r="I5" s="31"/>
      <c r="J5" s="29"/>
      <c r="K5" s="32"/>
      <c r="L5" s="77">
        <v>46146</v>
      </c>
      <c r="M5" s="77"/>
    </row>
    <row r="6" spans="1:19" s="33" customFormat="1" ht="18" customHeight="1" x14ac:dyDescent="0.2">
      <c r="A6" s="81" t="s">
        <v>6</v>
      </c>
      <c r="B6" s="82" t="s">
        <v>682</v>
      </c>
      <c r="C6" s="83" t="s">
        <v>631</v>
      </c>
      <c r="D6" s="34" t="s">
        <v>7</v>
      </c>
      <c r="E6" s="79" t="s">
        <v>8</v>
      </c>
      <c r="F6" s="84" t="s">
        <v>683</v>
      </c>
      <c r="G6" s="78" t="s">
        <v>684</v>
      </c>
      <c r="H6" s="35" t="s">
        <v>687</v>
      </c>
      <c r="I6" s="36" t="s">
        <v>686</v>
      </c>
      <c r="J6" s="37" t="s">
        <v>687</v>
      </c>
      <c r="K6" s="80" t="s">
        <v>688</v>
      </c>
      <c r="L6" s="80"/>
      <c r="M6" s="38" t="s">
        <v>688</v>
      </c>
    </row>
    <row r="7" spans="1:19" s="33" customFormat="1" ht="19.5" customHeight="1" x14ac:dyDescent="0.2">
      <c r="A7" s="81"/>
      <c r="B7" s="82"/>
      <c r="C7" s="82"/>
      <c r="D7" s="39" t="s">
        <v>689</v>
      </c>
      <c r="E7" s="79"/>
      <c r="F7" s="79"/>
      <c r="G7" s="79"/>
      <c r="H7" s="40" t="s">
        <v>695</v>
      </c>
      <c r="I7" s="41" t="s">
        <v>691</v>
      </c>
      <c r="J7" s="42" t="s">
        <v>692</v>
      </c>
      <c r="K7" s="43" t="s">
        <v>693</v>
      </c>
      <c r="L7" s="44" t="s">
        <v>694</v>
      </c>
      <c r="M7" s="45">
        <v>0</v>
      </c>
    </row>
    <row r="8" spans="1:19" s="64" customFormat="1" ht="16.5" customHeight="1" x14ac:dyDescent="0.2">
      <c r="A8" s="65" t="s">
        <v>119</v>
      </c>
      <c r="B8" s="65" t="s">
        <v>120</v>
      </c>
      <c r="C8" s="66" t="s">
        <v>121</v>
      </c>
      <c r="D8" s="67">
        <v>3.07</v>
      </c>
      <c r="E8" s="67" t="s">
        <v>11</v>
      </c>
      <c r="F8" s="68" t="str">
        <f t="shared" ref="F8:F46" si="0">+$M$3</f>
        <v>0009</v>
      </c>
      <c r="G8" s="69"/>
      <c r="H8" s="70">
        <v>6868</v>
      </c>
      <c r="I8" s="70">
        <v>0</v>
      </c>
      <c r="J8" s="62">
        <f t="shared" ref="J8:J46" si="1">D8*H8</f>
        <v>21084.76</v>
      </c>
      <c r="K8" s="62">
        <f t="shared" ref="K8:K46" si="2">H8-I8</f>
        <v>6868</v>
      </c>
      <c r="L8" s="62">
        <f t="shared" ref="L8:L46" si="3">H8-I8</f>
        <v>6868</v>
      </c>
      <c r="M8" s="63">
        <f t="shared" ref="M8:M46" si="4">L8*D8</f>
        <v>21084.76</v>
      </c>
    </row>
    <row r="9" spans="1:19" s="64" customFormat="1" ht="16.5" customHeight="1" x14ac:dyDescent="0.2">
      <c r="A9" s="56" t="s">
        <v>97</v>
      </c>
      <c r="B9" s="56" t="s">
        <v>98</v>
      </c>
      <c r="C9" s="57" t="s">
        <v>99</v>
      </c>
      <c r="D9" s="58">
        <v>18.18</v>
      </c>
      <c r="E9" s="58" t="s">
        <v>11</v>
      </c>
      <c r="F9" s="59" t="str">
        <f t="shared" si="0"/>
        <v>0009</v>
      </c>
      <c r="G9" s="60"/>
      <c r="H9" s="61">
        <v>229</v>
      </c>
      <c r="I9" s="61">
        <v>48</v>
      </c>
      <c r="J9" s="62">
        <f t="shared" si="1"/>
        <v>4163.22</v>
      </c>
      <c r="K9" s="62">
        <f t="shared" si="2"/>
        <v>181</v>
      </c>
      <c r="L9" s="62">
        <f t="shared" si="3"/>
        <v>181</v>
      </c>
      <c r="M9" s="63">
        <f t="shared" si="4"/>
        <v>3290.58</v>
      </c>
    </row>
    <row r="10" spans="1:19" s="64" customFormat="1" ht="16.5" customHeight="1" x14ac:dyDescent="0.2">
      <c r="A10" s="65" t="s">
        <v>55</v>
      </c>
      <c r="B10" s="65" t="s">
        <v>56</v>
      </c>
      <c r="C10" s="66" t="s">
        <v>57</v>
      </c>
      <c r="D10" s="67">
        <v>3.32</v>
      </c>
      <c r="E10" s="67" t="s">
        <v>11</v>
      </c>
      <c r="F10" s="68" t="str">
        <f t="shared" si="0"/>
        <v>0009</v>
      </c>
      <c r="G10" s="69"/>
      <c r="H10" s="70">
        <v>251</v>
      </c>
      <c r="I10" s="70">
        <v>0</v>
      </c>
      <c r="J10" s="62">
        <f t="shared" si="1"/>
        <v>833.31999999999994</v>
      </c>
      <c r="K10" s="62">
        <f t="shared" si="2"/>
        <v>251</v>
      </c>
      <c r="L10" s="62">
        <f t="shared" si="3"/>
        <v>251</v>
      </c>
      <c r="M10" s="63">
        <f t="shared" si="4"/>
        <v>833.31999999999994</v>
      </c>
    </row>
    <row r="11" spans="1:19" s="64" customFormat="1" ht="16.5" customHeight="1" x14ac:dyDescent="0.2">
      <c r="A11" s="65" t="s">
        <v>115</v>
      </c>
      <c r="B11" s="65" t="s">
        <v>116</v>
      </c>
      <c r="C11" s="66" t="s">
        <v>117</v>
      </c>
      <c r="D11" s="67">
        <v>3.62</v>
      </c>
      <c r="E11" s="67" t="s">
        <v>11</v>
      </c>
      <c r="F11" s="68" t="str">
        <f t="shared" si="0"/>
        <v>0009</v>
      </c>
      <c r="G11" s="69"/>
      <c r="H11" s="70">
        <v>205</v>
      </c>
      <c r="I11" s="70">
        <v>0</v>
      </c>
      <c r="J11" s="62">
        <f t="shared" si="1"/>
        <v>742.1</v>
      </c>
      <c r="K11" s="62">
        <f t="shared" si="2"/>
        <v>205</v>
      </c>
      <c r="L11" s="62">
        <f t="shared" si="3"/>
        <v>205</v>
      </c>
      <c r="M11" s="63">
        <f t="shared" si="4"/>
        <v>742.1</v>
      </c>
    </row>
    <row r="12" spans="1:19" s="64" customFormat="1" ht="16.5" customHeight="1" x14ac:dyDescent="0.2">
      <c r="A12" s="56" t="s">
        <v>137</v>
      </c>
      <c r="B12" s="56" t="s">
        <v>138</v>
      </c>
      <c r="C12" s="57" t="s">
        <v>139</v>
      </c>
      <c r="D12" s="58">
        <v>6.55</v>
      </c>
      <c r="E12" s="58" t="s">
        <v>11</v>
      </c>
      <c r="F12" s="59" t="str">
        <f t="shared" si="0"/>
        <v>0009</v>
      </c>
      <c r="G12" s="60"/>
      <c r="H12" s="61">
        <v>109</v>
      </c>
      <c r="I12" s="61">
        <v>12</v>
      </c>
      <c r="J12" s="62">
        <f t="shared" si="1"/>
        <v>713.94999999999993</v>
      </c>
      <c r="K12" s="62">
        <f t="shared" si="2"/>
        <v>97</v>
      </c>
      <c r="L12" s="62">
        <f t="shared" si="3"/>
        <v>97</v>
      </c>
      <c r="M12" s="63">
        <f t="shared" si="4"/>
        <v>635.35</v>
      </c>
    </row>
    <row r="13" spans="1:19" s="64" customFormat="1" ht="16.5" customHeight="1" x14ac:dyDescent="0.2">
      <c r="A13" s="65" t="s">
        <v>28</v>
      </c>
      <c r="B13" s="65" t="s">
        <v>29</v>
      </c>
      <c r="C13" s="66" t="s">
        <v>102</v>
      </c>
      <c r="D13" s="67">
        <v>3.28</v>
      </c>
      <c r="E13" s="67" t="s">
        <v>11</v>
      </c>
      <c r="F13" s="68" t="str">
        <f t="shared" si="0"/>
        <v>0009</v>
      </c>
      <c r="G13" s="69"/>
      <c r="H13" s="70">
        <v>170</v>
      </c>
      <c r="I13" s="70">
        <v>0</v>
      </c>
      <c r="J13" s="62">
        <f t="shared" si="1"/>
        <v>557.6</v>
      </c>
      <c r="K13" s="62">
        <f t="shared" si="2"/>
        <v>170</v>
      </c>
      <c r="L13" s="62">
        <f t="shared" si="3"/>
        <v>170</v>
      </c>
      <c r="M13" s="63">
        <f t="shared" si="4"/>
        <v>557.6</v>
      </c>
    </row>
    <row r="14" spans="1:19" s="64" customFormat="1" ht="16.5" customHeight="1" x14ac:dyDescent="0.2">
      <c r="A14" s="65" t="s">
        <v>58</v>
      </c>
      <c r="B14" s="65" t="s">
        <v>59</v>
      </c>
      <c r="C14" s="66" t="s">
        <v>61</v>
      </c>
      <c r="D14" s="67">
        <v>10.46</v>
      </c>
      <c r="E14" s="67" t="s">
        <v>11</v>
      </c>
      <c r="F14" s="68" t="str">
        <f t="shared" si="0"/>
        <v>0009</v>
      </c>
      <c r="G14" s="69"/>
      <c r="H14" s="70">
        <v>44</v>
      </c>
      <c r="I14" s="70">
        <v>0</v>
      </c>
      <c r="J14" s="62">
        <f t="shared" si="1"/>
        <v>460.24</v>
      </c>
      <c r="K14" s="62">
        <f t="shared" si="2"/>
        <v>44</v>
      </c>
      <c r="L14" s="62">
        <f t="shared" si="3"/>
        <v>44</v>
      </c>
      <c r="M14" s="63">
        <f t="shared" si="4"/>
        <v>460.24</v>
      </c>
    </row>
    <row r="15" spans="1:19" s="64" customFormat="1" ht="16.5" customHeight="1" x14ac:dyDescent="0.2">
      <c r="A15" s="65" t="s">
        <v>236</v>
      </c>
      <c r="B15" s="65" t="s">
        <v>237</v>
      </c>
      <c r="C15" s="66" t="s">
        <v>492</v>
      </c>
      <c r="D15" s="67">
        <v>15.08</v>
      </c>
      <c r="E15" s="67" t="s">
        <v>11</v>
      </c>
      <c r="F15" s="68" t="str">
        <f t="shared" si="0"/>
        <v>0009</v>
      </c>
      <c r="G15" s="69"/>
      <c r="H15" s="70">
        <v>30</v>
      </c>
      <c r="I15" s="70">
        <v>0</v>
      </c>
      <c r="J15" s="62">
        <f t="shared" si="1"/>
        <v>452.4</v>
      </c>
      <c r="K15" s="62">
        <f t="shared" si="2"/>
        <v>30</v>
      </c>
      <c r="L15" s="62">
        <f t="shared" si="3"/>
        <v>30</v>
      </c>
      <c r="M15" s="63">
        <f t="shared" si="4"/>
        <v>452.4</v>
      </c>
    </row>
    <row r="16" spans="1:19" s="64" customFormat="1" ht="16.5" customHeight="1" x14ac:dyDescent="0.2">
      <c r="A16" s="65" t="s">
        <v>246</v>
      </c>
      <c r="B16" s="65" t="s">
        <v>247</v>
      </c>
      <c r="C16" s="66" t="s">
        <v>650</v>
      </c>
      <c r="D16" s="67">
        <v>14.98</v>
      </c>
      <c r="E16" s="67" t="s">
        <v>11</v>
      </c>
      <c r="F16" s="68" t="str">
        <f t="shared" si="0"/>
        <v>0009</v>
      </c>
      <c r="G16" s="69"/>
      <c r="H16" s="70">
        <v>20</v>
      </c>
      <c r="I16" s="70">
        <v>0</v>
      </c>
      <c r="J16" s="62">
        <f t="shared" si="1"/>
        <v>299.60000000000002</v>
      </c>
      <c r="K16" s="62">
        <f t="shared" si="2"/>
        <v>20</v>
      </c>
      <c r="L16" s="62">
        <f t="shared" si="3"/>
        <v>20</v>
      </c>
      <c r="M16" s="63">
        <f t="shared" si="4"/>
        <v>299.60000000000002</v>
      </c>
    </row>
    <row r="17" spans="1:13" s="64" customFormat="1" ht="16.5" customHeight="1" x14ac:dyDescent="0.2">
      <c r="A17" s="65" t="s">
        <v>23</v>
      </c>
      <c r="B17" s="65" t="s">
        <v>24</v>
      </c>
      <c r="C17" s="66" t="s">
        <v>96</v>
      </c>
      <c r="D17" s="67">
        <v>7.97</v>
      </c>
      <c r="E17" s="67" t="s">
        <v>11</v>
      </c>
      <c r="F17" s="68" t="str">
        <f t="shared" si="0"/>
        <v>0009</v>
      </c>
      <c r="G17" s="69"/>
      <c r="H17" s="70">
        <v>32</v>
      </c>
      <c r="I17" s="70">
        <v>0</v>
      </c>
      <c r="J17" s="62">
        <f t="shared" si="1"/>
        <v>255.04</v>
      </c>
      <c r="K17" s="62">
        <f t="shared" si="2"/>
        <v>32</v>
      </c>
      <c r="L17" s="62">
        <f t="shared" si="3"/>
        <v>32</v>
      </c>
      <c r="M17" s="63">
        <f t="shared" si="4"/>
        <v>255.04</v>
      </c>
    </row>
    <row r="18" spans="1:13" s="64" customFormat="1" ht="16.5" customHeight="1" x14ac:dyDescent="0.2">
      <c r="A18" s="65" t="s">
        <v>35</v>
      </c>
      <c r="B18" s="65" t="s">
        <v>36</v>
      </c>
      <c r="C18" s="66" t="s">
        <v>634</v>
      </c>
      <c r="D18" s="67">
        <v>2.97</v>
      </c>
      <c r="E18" s="67" t="s">
        <v>11</v>
      </c>
      <c r="F18" s="68" t="str">
        <f t="shared" si="0"/>
        <v>0009</v>
      </c>
      <c r="G18" s="69"/>
      <c r="H18" s="70">
        <v>84</v>
      </c>
      <c r="I18" s="70">
        <v>0</v>
      </c>
      <c r="J18" s="62">
        <f t="shared" si="1"/>
        <v>249.48000000000002</v>
      </c>
      <c r="K18" s="62">
        <f t="shared" si="2"/>
        <v>84</v>
      </c>
      <c r="L18" s="62">
        <f t="shared" si="3"/>
        <v>84</v>
      </c>
      <c r="M18" s="63">
        <f t="shared" si="4"/>
        <v>249.48000000000002</v>
      </c>
    </row>
    <row r="19" spans="1:13" s="64" customFormat="1" ht="16.5" customHeight="1" x14ac:dyDescent="0.2">
      <c r="A19" s="65" t="s">
        <v>51</v>
      </c>
      <c r="B19" s="65" t="s">
        <v>52</v>
      </c>
      <c r="C19" s="66" t="s">
        <v>655</v>
      </c>
      <c r="D19" s="67">
        <v>7.04</v>
      </c>
      <c r="E19" s="67" t="s">
        <v>11</v>
      </c>
      <c r="F19" s="68" t="str">
        <f t="shared" si="0"/>
        <v>0009</v>
      </c>
      <c r="G19" s="69"/>
      <c r="H19" s="70">
        <v>32</v>
      </c>
      <c r="I19" s="70">
        <v>0</v>
      </c>
      <c r="J19" s="62">
        <f t="shared" si="1"/>
        <v>225.28</v>
      </c>
      <c r="K19" s="62">
        <f t="shared" si="2"/>
        <v>32</v>
      </c>
      <c r="L19" s="62">
        <f t="shared" si="3"/>
        <v>32</v>
      </c>
      <c r="M19" s="63">
        <f t="shared" si="4"/>
        <v>225.28</v>
      </c>
    </row>
    <row r="20" spans="1:13" s="64" customFormat="1" ht="16.5" customHeight="1" x14ac:dyDescent="0.2">
      <c r="A20" s="65" t="s">
        <v>131</v>
      </c>
      <c r="B20" s="65" t="s">
        <v>130</v>
      </c>
      <c r="C20" s="66" t="s">
        <v>617</v>
      </c>
      <c r="D20" s="67">
        <v>10.210000000000001</v>
      </c>
      <c r="E20" s="67" t="s">
        <v>11</v>
      </c>
      <c r="F20" s="68" t="str">
        <f t="shared" si="0"/>
        <v>0009</v>
      </c>
      <c r="G20" s="69"/>
      <c r="H20" s="70">
        <v>18</v>
      </c>
      <c r="I20" s="70">
        <v>0</v>
      </c>
      <c r="J20" s="62">
        <f t="shared" si="1"/>
        <v>183.78000000000003</v>
      </c>
      <c r="K20" s="62">
        <f t="shared" si="2"/>
        <v>18</v>
      </c>
      <c r="L20" s="62">
        <f t="shared" si="3"/>
        <v>18</v>
      </c>
      <c r="M20" s="63">
        <f t="shared" si="4"/>
        <v>183.78000000000003</v>
      </c>
    </row>
    <row r="21" spans="1:13" s="64" customFormat="1" ht="16.5" customHeight="1" x14ac:dyDescent="0.2">
      <c r="A21" s="65" t="s">
        <v>38</v>
      </c>
      <c r="B21" s="65" t="s">
        <v>39</v>
      </c>
      <c r="C21" s="66" t="s">
        <v>528</v>
      </c>
      <c r="D21" s="67">
        <v>2.95</v>
      </c>
      <c r="E21" s="67" t="s">
        <v>11</v>
      </c>
      <c r="F21" s="68" t="str">
        <f t="shared" si="0"/>
        <v>0009</v>
      </c>
      <c r="G21" s="69"/>
      <c r="H21" s="70">
        <v>60</v>
      </c>
      <c r="I21" s="70">
        <v>0</v>
      </c>
      <c r="J21" s="62">
        <f t="shared" si="1"/>
        <v>177</v>
      </c>
      <c r="K21" s="62">
        <f t="shared" si="2"/>
        <v>60</v>
      </c>
      <c r="L21" s="62">
        <f t="shared" si="3"/>
        <v>60</v>
      </c>
      <c r="M21" s="63">
        <f t="shared" si="4"/>
        <v>177</v>
      </c>
    </row>
    <row r="22" spans="1:13" s="64" customFormat="1" ht="16.5" customHeight="1" x14ac:dyDescent="0.2">
      <c r="A22" s="65" t="s">
        <v>115</v>
      </c>
      <c r="B22" s="65" t="s">
        <v>116</v>
      </c>
      <c r="C22" s="66" t="s">
        <v>623</v>
      </c>
      <c r="D22" s="67">
        <v>3.62</v>
      </c>
      <c r="E22" s="67" t="s">
        <v>11</v>
      </c>
      <c r="F22" s="68" t="str">
        <f t="shared" si="0"/>
        <v>0009</v>
      </c>
      <c r="G22" s="69"/>
      <c r="H22" s="70">
        <v>48</v>
      </c>
      <c r="I22" s="70">
        <v>0</v>
      </c>
      <c r="J22" s="62">
        <f t="shared" si="1"/>
        <v>173.76</v>
      </c>
      <c r="K22" s="62">
        <f t="shared" si="2"/>
        <v>48</v>
      </c>
      <c r="L22" s="62">
        <f t="shared" si="3"/>
        <v>48</v>
      </c>
      <c r="M22" s="63">
        <f t="shared" si="4"/>
        <v>173.76</v>
      </c>
    </row>
    <row r="23" spans="1:13" s="64" customFormat="1" ht="16.5" customHeight="1" x14ac:dyDescent="0.2">
      <c r="A23" s="65" t="s">
        <v>30</v>
      </c>
      <c r="B23" s="65" t="s">
        <v>31</v>
      </c>
      <c r="C23" s="66" t="s">
        <v>515</v>
      </c>
      <c r="D23" s="67">
        <v>2.82</v>
      </c>
      <c r="E23" s="67" t="s">
        <v>11</v>
      </c>
      <c r="F23" s="68" t="str">
        <f t="shared" si="0"/>
        <v>0009</v>
      </c>
      <c r="G23" s="69"/>
      <c r="H23" s="70">
        <v>60</v>
      </c>
      <c r="I23" s="70">
        <v>0</v>
      </c>
      <c r="J23" s="62">
        <f t="shared" si="1"/>
        <v>169.2</v>
      </c>
      <c r="K23" s="62">
        <f t="shared" si="2"/>
        <v>60</v>
      </c>
      <c r="L23" s="62">
        <f t="shared" si="3"/>
        <v>60</v>
      </c>
      <c r="M23" s="63">
        <f t="shared" si="4"/>
        <v>169.2</v>
      </c>
    </row>
    <row r="24" spans="1:13" s="64" customFormat="1" ht="16.5" customHeight="1" x14ac:dyDescent="0.2">
      <c r="A24" s="65" t="s">
        <v>35</v>
      </c>
      <c r="B24" s="65" t="s">
        <v>36</v>
      </c>
      <c r="C24" s="66" t="s">
        <v>37</v>
      </c>
      <c r="D24" s="67">
        <v>2.97</v>
      </c>
      <c r="E24" s="67" t="s">
        <v>11</v>
      </c>
      <c r="F24" s="68" t="str">
        <f t="shared" si="0"/>
        <v>0009</v>
      </c>
      <c r="G24" s="69"/>
      <c r="H24" s="70">
        <v>52</v>
      </c>
      <c r="I24" s="70">
        <v>0</v>
      </c>
      <c r="J24" s="62">
        <f t="shared" si="1"/>
        <v>154.44</v>
      </c>
      <c r="K24" s="62">
        <f t="shared" si="2"/>
        <v>52</v>
      </c>
      <c r="L24" s="62">
        <f t="shared" si="3"/>
        <v>52</v>
      </c>
      <c r="M24" s="63">
        <f t="shared" si="4"/>
        <v>154.44</v>
      </c>
    </row>
    <row r="25" spans="1:13" s="64" customFormat="1" ht="16.5" customHeight="1" x14ac:dyDescent="0.2">
      <c r="A25" s="65" t="s">
        <v>58</v>
      </c>
      <c r="B25" s="65" t="s">
        <v>59</v>
      </c>
      <c r="C25" s="66" t="s">
        <v>60</v>
      </c>
      <c r="D25" s="67">
        <v>10.46</v>
      </c>
      <c r="E25" s="67" t="s">
        <v>11</v>
      </c>
      <c r="F25" s="68" t="str">
        <f t="shared" si="0"/>
        <v>0009</v>
      </c>
      <c r="G25" s="69"/>
      <c r="H25" s="70">
        <v>14</v>
      </c>
      <c r="I25" s="70">
        <v>0</v>
      </c>
      <c r="J25" s="62">
        <f t="shared" si="1"/>
        <v>146.44</v>
      </c>
      <c r="K25" s="62">
        <f t="shared" si="2"/>
        <v>14</v>
      </c>
      <c r="L25" s="62">
        <f t="shared" si="3"/>
        <v>14</v>
      </c>
      <c r="M25" s="63">
        <f t="shared" si="4"/>
        <v>146.44</v>
      </c>
    </row>
    <row r="26" spans="1:13" s="64" customFormat="1" ht="16.5" customHeight="1" x14ac:dyDescent="0.2">
      <c r="A26" s="65" t="s">
        <v>44</v>
      </c>
      <c r="B26" s="65" t="s">
        <v>45</v>
      </c>
      <c r="C26" s="66" t="s">
        <v>46</v>
      </c>
      <c r="D26" s="67">
        <v>2.95</v>
      </c>
      <c r="E26" s="67" t="s">
        <v>11</v>
      </c>
      <c r="F26" s="68" t="str">
        <f t="shared" si="0"/>
        <v>0009</v>
      </c>
      <c r="G26" s="69"/>
      <c r="H26" s="70">
        <v>48</v>
      </c>
      <c r="I26" s="70">
        <v>0</v>
      </c>
      <c r="J26" s="62">
        <f t="shared" si="1"/>
        <v>141.60000000000002</v>
      </c>
      <c r="K26" s="62">
        <f t="shared" si="2"/>
        <v>48</v>
      </c>
      <c r="L26" s="62">
        <f t="shared" si="3"/>
        <v>48</v>
      </c>
      <c r="M26" s="63">
        <f t="shared" si="4"/>
        <v>141.60000000000002</v>
      </c>
    </row>
    <row r="27" spans="1:13" s="64" customFormat="1" ht="16.5" customHeight="1" x14ac:dyDescent="0.2">
      <c r="A27" s="65" t="s">
        <v>35</v>
      </c>
      <c r="B27" s="65" t="s">
        <v>36</v>
      </c>
      <c r="C27" s="66" t="s">
        <v>635</v>
      </c>
      <c r="D27" s="67">
        <v>2.97</v>
      </c>
      <c r="E27" s="67" t="s">
        <v>11</v>
      </c>
      <c r="F27" s="68" t="str">
        <f t="shared" si="0"/>
        <v>0009</v>
      </c>
      <c r="G27" s="69"/>
      <c r="H27" s="70">
        <v>43</v>
      </c>
      <c r="I27" s="70">
        <v>0</v>
      </c>
      <c r="J27" s="62">
        <f t="shared" si="1"/>
        <v>127.71000000000001</v>
      </c>
      <c r="K27" s="62">
        <f t="shared" si="2"/>
        <v>43</v>
      </c>
      <c r="L27" s="62">
        <f t="shared" si="3"/>
        <v>43</v>
      </c>
      <c r="M27" s="63">
        <f t="shared" si="4"/>
        <v>127.71000000000001</v>
      </c>
    </row>
    <row r="28" spans="1:13" s="64" customFormat="1" ht="16.5" customHeight="1" x14ac:dyDescent="0.2">
      <c r="A28" s="65" t="s">
        <v>38</v>
      </c>
      <c r="B28" s="65" t="s">
        <v>39</v>
      </c>
      <c r="C28" s="66" t="s">
        <v>621</v>
      </c>
      <c r="D28" s="67">
        <v>2.95</v>
      </c>
      <c r="E28" s="67" t="s">
        <v>11</v>
      </c>
      <c r="F28" s="68" t="str">
        <f t="shared" si="0"/>
        <v>0009</v>
      </c>
      <c r="G28" s="69"/>
      <c r="H28" s="70">
        <v>43</v>
      </c>
      <c r="I28" s="70">
        <v>0</v>
      </c>
      <c r="J28" s="62">
        <f t="shared" si="1"/>
        <v>126.85000000000001</v>
      </c>
      <c r="K28" s="62">
        <f t="shared" si="2"/>
        <v>43</v>
      </c>
      <c r="L28" s="62">
        <f t="shared" si="3"/>
        <v>43</v>
      </c>
      <c r="M28" s="63">
        <f t="shared" si="4"/>
        <v>126.85000000000001</v>
      </c>
    </row>
    <row r="29" spans="1:13" s="64" customFormat="1" ht="16.5" customHeight="1" x14ac:dyDescent="0.2">
      <c r="A29" s="65" t="s">
        <v>25</v>
      </c>
      <c r="B29" s="65" t="s">
        <v>26</v>
      </c>
      <c r="C29" s="66" t="s">
        <v>648</v>
      </c>
      <c r="D29" s="67">
        <v>6.78</v>
      </c>
      <c r="E29" s="67" t="s">
        <v>11</v>
      </c>
      <c r="F29" s="68" t="str">
        <f t="shared" si="0"/>
        <v>0009</v>
      </c>
      <c r="G29" s="69"/>
      <c r="H29" s="70">
        <v>16</v>
      </c>
      <c r="I29" s="70">
        <v>0</v>
      </c>
      <c r="J29" s="62">
        <f t="shared" si="1"/>
        <v>108.48</v>
      </c>
      <c r="K29" s="62">
        <f t="shared" si="2"/>
        <v>16</v>
      </c>
      <c r="L29" s="62">
        <f t="shared" si="3"/>
        <v>16</v>
      </c>
      <c r="M29" s="63">
        <f t="shared" si="4"/>
        <v>108.48</v>
      </c>
    </row>
    <row r="30" spans="1:13" s="64" customFormat="1" ht="16.5" customHeight="1" x14ac:dyDescent="0.2">
      <c r="A30" s="65" t="s">
        <v>38</v>
      </c>
      <c r="B30" s="65" t="s">
        <v>39</v>
      </c>
      <c r="C30" s="66" t="s">
        <v>529</v>
      </c>
      <c r="D30" s="67">
        <v>2.95</v>
      </c>
      <c r="E30" s="67" t="s">
        <v>11</v>
      </c>
      <c r="F30" s="68" t="str">
        <f t="shared" si="0"/>
        <v>0009</v>
      </c>
      <c r="G30" s="69"/>
      <c r="H30" s="70">
        <v>35</v>
      </c>
      <c r="I30" s="70">
        <v>0</v>
      </c>
      <c r="J30" s="62">
        <f t="shared" si="1"/>
        <v>103.25</v>
      </c>
      <c r="K30" s="62">
        <f t="shared" si="2"/>
        <v>35</v>
      </c>
      <c r="L30" s="62">
        <f t="shared" si="3"/>
        <v>35</v>
      </c>
      <c r="M30" s="63">
        <f t="shared" si="4"/>
        <v>103.25</v>
      </c>
    </row>
    <row r="31" spans="1:13" s="64" customFormat="1" ht="16.5" customHeight="1" x14ac:dyDescent="0.2">
      <c r="A31" s="65" t="s">
        <v>126</v>
      </c>
      <c r="B31" s="65" t="s">
        <v>127</v>
      </c>
      <c r="C31" s="66" t="s">
        <v>625</v>
      </c>
      <c r="D31" s="67">
        <v>3.03</v>
      </c>
      <c r="E31" s="67" t="s">
        <v>11</v>
      </c>
      <c r="F31" s="68" t="str">
        <f t="shared" si="0"/>
        <v>0009</v>
      </c>
      <c r="G31" s="69"/>
      <c r="H31" s="70">
        <v>29</v>
      </c>
      <c r="I31" s="70">
        <v>0</v>
      </c>
      <c r="J31" s="62">
        <f t="shared" si="1"/>
        <v>87.86999999999999</v>
      </c>
      <c r="K31" s="62">
        <f t="shared" si="2"/>
        <v>29</v>
      </c>
      <c r="L31" s="62">
        <f t="shared" si="3"/>
        <v>29</v>
      </c>
      <c r="M31" s="63">
        <f t="shared" si="4"/>
        <v>87.86999999999999</v>
      </c>
    </row>
    <row r="32" spans="1:13" s="64" customFormat="1" ht="16.5" customHeight="1" x14ac:dyDescent="0.2">
      <c r="A32" s="65" t="s">
        <v>115</v>
      </c>
      <c r="B32" s="65" t="s">
        <v>116</v>
      </c>
      <c r="C32" s="66" t="s">
        <v>658</v>
      </c>
      <c r="D32" s="67">
        <v>3.62</v>
      </c>
      <c r="E32" s="67" t="s">
        <v>11</v>
      </c>
      <c r="F32" s="68" t="str">
        <f t="shared" si="0"/>
        <v>0009</v>
      </c>
      <c r="G32" s="69"/>
      <c r="H32" s="70">
        <v>24</v>
      </c>
      <c r="I32" s="70">
        <v>0</v>
      </c>
      <c r="J32" s="62">
        <f t="shared" si="1"/>
        <v>86.88</v>
      </c>
      <c r="K32" s="62">
        <f t="shared" si="2"/>
        <v>24</v>
      </c>
      <c r="L32" s="62">
        <f t="shared" si="3"/>
        <v>24</v>
      </c>
      <c r="M32" s="63">
        <f t="shared" si="4"/>
        <v>86.88</v>
      </c>
    </row>
    <row r="33" spans="1:13" s="64" customFormat="1" ht="16.5" customHeight="1" x14ac:dyDescent="0.2">
      <c r="A33" s="65" t="s">
        <v>32</v>
      </c>
      <c r="B33" s="65" t="s">
        <v>33</v>
      </c>
      <c r="C33" s="66" t="s">
        <v>108</v>
      </c>
      <c r="D33" s="67">
        <v>3.03</v>
      </c>
      <c r="E33" s="67" t="s">
        <v>11</v>
      </c>
      <c r="F33" s="68" t="str">
        <f t="shared" si="0"/>
        <v>0009</v>
      </c>
      <c r="G33" s="69"/>
      <c r="H33" s="70">
        <v>13</v>
      </c>
      <c r="I33" s="70">
        <v>0</v>
      </c>
      <c r="J33" s="62">
        <f t="shared" si="1"/>
        <v>39.39</v>
      </c>
      <c r="K33" s="62">
        <f t="shared" si="2"/>
        <v>13</v>
      </c>
      <c r="L33" s="62">
        <f t="shared" si="3"/>
        <v>13</v>
      </c>
      <c r="M33" s="63">
        <f t="shared" si="4"/>
        <v>39.39</v>
      </c>
    </row>
    <row r="34" spans="1:13" s="64" customFormat="1" ht="16.5" customHeight="1" x14ac:dyDescent="0.2">
      <c r="A34" s="65" t="s">
        <v>32</v>
      </c>
      <c r="B34" s="65" t="s">
        <v>33</v>
      </c>
      <c r="C34" s="66" t="s">
        <v>34</v>
      </c>
      <c r="D34" s="67">
        <v>3.03</v>
      </c>
      <c r="E34" s="67" t="s">
        <v>11</v>
      </c>
      <c r="F34" s="68" t="str">
        <f t="shared" si="0"/>
        <v>0009</v>
      </c>
      <c r="G34" s="69"/>
      <c r="H34" s="70">
        <v>12</v>
      </c>
      <c r="I34" s="70">
        <v>0</v>
      </c>
      <c r="J34" s="62">
        <f t="shared" si="1"/>
        <v>36.36</v>
      </c>
      <c r="K34" s="62">
        <f t="shared" si="2"/>
        <v>12</v>
      </c>
      <c r="L34" s="62">
        <f t="shared" si="3"/>
        <v>12</v>
      </c>
      <c r="M34" s="63">
        <f t="shared" si="4"/>
        <v>36.36</v>
      </c>
    </row>
    <row r="35" spans="1:13" s="64" customFormat="1" ht="16.5" customHeight="1" x14ac:dyDescent="0.2">
      <c r="A35" s="65" t="s">
        <v>42</v>
      </c>
      <c r="B35" s="65" t="s">
        <v>43</v>
      </c>
      <c r="C35" s="66" t="s">
        <v>538</v>
      </c>
      <c r="D35" s="67">
        <v>2.97</v>
      </c>
      <c r="E35" s="67" t="s">
        <v>11</v>
      </c>
      <c r="F35" s="68" t="str">
        <f t="shared" si="0"/>
        <v>0009</v>
      </c>
      <c r="G35" s="69"/>
      <c r="H35" s="70">
        <v>11</v>
      </c>
      <c r="I35" s="70">
        <v>0</v>
      </c>
      <c r="J35" s="62">
        <f t="shared" si="1"/>
        <v>32.67</v>
      </c>
      <c r="K35" s="62">
        <f t="shared" si="2"/>
        <v>11</v>
      </c>
      <c r="L35" s="62">
        <f t="shared" si="3"/>
        <v>11</v>
      </c>
      <c r="M35" s="63">
        <f t="shared" si="4"/>
        <v>32.67</v>
      </c>
    </row>
    <row r="36" spans="1:13" s="64" customFormat="1" ht="16.5" customHeight="1" x14ac:dyDescent="0.2">
      <c r="A36" s="65" t="s">
        <v>30</v>
      </c>
      <c r="B36" s="65" t="s">
        <v>31</v>
      </c>
      <c r="C36" s="66" t="s">
        <v>104</v>
      </c>
      <c r="D36" s="67">
        <v>2.82</v>
      </c>
      <c r="E36" s="67" t="s">
        <v>11</v>
      </c>
      <c r="F36" s="68" t="str">
        <f t="shared" si="0"/>
        <v>0009</v>
      </c>
      <c r="G36" s="69"/>
      <c r="H36" s="70">
        <v>9</v>
      </c>
      <c r="I36" s="70">
        <v>0</v>
      </c>
      <c r="J36" s="62">
        <f t="shared" si="1"/>
        <v>25.38</v>
      </c>
      <c r="K36" s="62">
        <f t="shared" si="2"/>
        <v>9</v>
      </c>
      <c r="L36" s="62">
        <f t="shared" si="3"/>
        <v>9</v>
      </c>
      <c r="M36" s="63">
        <f t="shared" si="4"/>
        <v>25.38</v>
      </c>
    </row>
    <row r="37" spans="1:13" s="64" customFormat="1" ht="16.5" customHeight="1" x14ac:dyDescent="0.2">
      <c r="A37" s="65" t="s">
        <v>47</v>
      </c>
      <c r="B37" s="65" t="s">
        <v>48</v>
      </c>
      <c r="C37" s="66" t="s">
        <v>113</v>
      </c>
      <c r="D37" s="67">
        <v>21.87</v>
      </c>
      <c r="E37" s="67" t="s">
        <v>11</v>
      </c>
      <c r="F37" s="68" t="str">
        <f t="shared" si="0"/>
        <v>0009</v>
      </c>
      <c r="G37" s="69"/>
      <c r="H37" s="70">
        <v>1</v>
      </c>
      <c r="I37" s="70">
        <v>0</v>
      </c>
      <c r="J37" s="62">
        <f t="shared" si="1"/>
        <v>21.87</v>
      </c>
      <c r="K37" s="62">
        <f t="shared" si="2"/>
        <v>1</v>
      </c>
      <c r="L37" s="62">
        <f t="shared" si="3"/>
        <v>1</v>
      </c>
      <c r="M37" s="63">
        <f t="shared" si="4"/>
        <v>21.87</v>
      </c>
    </row>
    <row r="38" spans="1:13" s="64" customFormat="1" ht="16.5" customHeight="1" x14ac:dyDescent="0.2">
      <c r="A38" s="65" t="s">
        <v>58</v>
      </c>
      <c r="B38" s="65" t="s">
        <v>59</v>
      </c>
      <c r="C38" s="66" t="s">
        <v>618</v>
      </c>
      <c r="D38" s="67">
        <v>10.46</v>
      </c>
      <c r="E38" s="67" t="s">
        <v>11</v>
      </c>
      <c r="F38" s="68" t="str">
        <f t="shared" si="0"/>
        <v>0009</v>
      </c>
      <c r="G38" s="69"/>
      <c r="H38" s="70">
        <v>2</v>
      </c>
      <c r="I38" s="70">
        <v>0</v>
      </c>
      <c r="J38" s="62">
        <f t="shared" si="1"/>
        <v>20.92</v>
      </c>
      <c r="K38" s="62">
        <f t="shared" si="2"/>
        <v>2</v>
      </c>
      <c r="L38" s="62">
        <f t="shared" si="3"/>
        <v>2</v>
      </c>
      <c r="M38" s="63">
        <f t="shared" si="4"/>
        <v>20.92</v>
      </c>
    </row>
    <row r="39" spans="1:13" s="64" customFormat="1" ht="16.5" customHeight="1" x14ac:dyDescent="0.2">
      <c r="A39" s="65" t="s">
        <v>35</v>
      </c>
      <c r="B39" s="65" t="s">
        <v>36</v>
      </c>
      <c r="C39" s="66" t="s">
        <v>522</v>
      </c>
      <c r="D39" s="67">
        <v>2.97</v>
      </c>
      <c r="E39" s="67" t="s">
        <v>11</v>
      </c>
      <c r="F39" s="68" t="str">
        <f t="shared" si="0"/>
        <v>0009</v>
      </c>
      <c r="G39" s="69"/>
      <c r="H39" s="70">
        <v>4</v>
      </c>
      <c r="I39" s="70">
        <v>0</v>
      </c>
      <c r="J39" s="62">
        <f t="shared" si="1"/>
        <v>11.88</v>
      </c>
      <c r="K39" s="62">
        <f t="shared" si="2"/>
        <v>4</v>
      </c>
      <c r="L39" s="62">
        <f t="shared" si="3"/>
        <v>4</v>
      </c>
      <c r="M39" s="63">
        <f t="shared" si="4"/>
        <v>11.88</v>
      </c>
    </row>
    <row r="40" spans="1:13" s="64" customFormat="1" ht="16.5" customHeight="1" x14ac:dyDescent="0.2">
      <c r="A40" s="65" t="s">
        <v>58</v>
      </c>
      <c r="B40" s="65" t="s">
        <v>59</v>
      </c>
      <c r="C40" s="66" t="s">
        <v>579</v>
      </c>
      <c r="D40" s="67">
        <v>10.46</v>
      </c>
      <c r="E40" s="67" t="s">
        <v>11</v>
      </c>
      <c r="F40" s="68" t="str">
        <f t="shared" si="0"/>
        <v>0009</v>
      </c>
      <c r="G40" s="69"/>
      <c r="H40" s="70">
        <v>1</v>
      </c>
      <c r="I40" s="70">
        <v>0</v>
      </c>
      <c r="J40" s="62">
        <f t="shared" si="1"/>
        <v>10.46</v>
      </c>
      <c r="K40" s="62">
        <f t="shared" si="2"/>
        <v>1</v>
      </c>
      <c r="L40" s="62">
        <f t="shared" si="3"/>
        <v>1</v>
      </c>
      <c r="M40" s="63">
        <f t="shared" si="4"/>
        <v>10.46</v>
      </c>
    </row>
    <row r="41" spans="1:13" s="64" customFormat="1" ht="16.5" customHeight="1" x14ac:dyDescent="0.2">
      <c r="A41" s="65" t="s">
        <v>55</v>
      </c>
      <c r="B41" s="65" t="s">
        <v>56</v>
      </c>
      <c r="C41" s="66" t="s">
        <v>616</v>
      </c>
      <c r="D41" s="67">
        <v>3.32</v>
      </c>
      <c r="E41" s="67" t="s">
        <v>11</v>
      </c>
      <c r="F41" s="68" t="str">
        <f t="shared" si="0"/>
        <v>0009</v>
      </c>
      <c r="G41" s="69"/>
      <c r="H41" s="70">
        <v>3</v>
      </c>
      <c r="I41" s="70">
        <v>0</v>
      </c>
      <c r="J41" s="62">
        <f t="shared" si="1"/>
        <v>9.9599999999999991</v>
      </c>
      <c r="K41" s="62">
        <f t="shared" si="2"/>
        <v>3</v>
      </c>
      <c r="L41" s="62">
        <f t="shared" si="3"/>
        <v>3</v>
      </c>
      <c r="M41" s="63">
        <f t="shared" si="4"/>
        <v>9.9599999999999991</v>
      </c>
    </row>
    <row r="42" spans="1:13" s="64" customFormat="1" ht="16.5" customHeight="1" x14ac:dyDescent="0.2">
      <c r="A42" s="65" t="s">
        <v>28</v>
      </c>
      <c r="B42" s="65" t="s">
        <v>29</v>
      </c>
      <c r="C42" s="66" t="s">
        <v>103</v>
      </c>
      <c r="D42" s="67">
        <v>3.28</v>
      </c>
      <c r="E42" s="67" t="s">
        <v>11</v>
      </c>
      <c r="F42" s="68" t="str">
        <f t="shared" si="0"/>
        <v>0009</v>
      </c>
      <c r="G42" s="69"/>
      <c r="H42" s="70">
        <v>2</v>
      </c>
      <c r="I42" s="70">
        <v>0</v>
      </c>
      <c r="J42" s="62">
        <f t="shared" si="1"/>
        <v>6.56</v>
      </c>
      <c r="K42" s="62">
        <f t="shared" si="2"/>
        <v>2</v>
      </c>
      <c r="L42" s="62">
        <f t="shared" si="3"/>
        <v>2</v>
      </c>
      <c r="M42" s="63">
        <f t="shared" si="4"/>
        <v>6.56</v>
      </c>
    </row>
    <row r="43" spans="1:13" s="64" customFormat="1" ht="16.5" customHeight="1" x14ac:dyDescent="0.2">
      <c r="A43" s="65" t="s">
        <v>38</v>
      </c>
      <c r="B43" s="65" t="s">
        <v>39</v>
      </c>
      <c r="C43" s="66" t="s">
        <v>110</v>
      </c>
      <c r="D43" s="67">
        <v>2.95</v>
      </c>
      <c r="E43" s="67" t="s">
        <v>11</v>
      </c>
      <c r="F43" s="68" t="str">
        <f t="shared" si="0"/>
        <v>0009</v>
      </c>
      <c r="G43" s="69"/>
      <c r="H43" s="70">
        <v>2</v>
      </c>
      <c r="I43" s="70">
        <v>0</v>
      </c>
      <c r="J43" s="62">
        <f t="shared" si="1"/>
        <v>5.9</v>
      </c>
      <c r="K43" s="62">
        <f t="shared" si="2"/>
        <v>2</v>
      </c>
      <c r="L43" s="62">
        <f t="shared" si="3"/>
        <v>2</v>
      </c>
      <c r="M43" s="63">
        <f t="shared" si="4"/>
        <v>5.9</v>
      </c>
    </row>
    <row r="44" spans="1:13" s="64" customFormat="1" ht="16.5" customHeight="1" x14ac:dyDescent="0.2">
      <c r="A44" s="56" t="s">
        <v>62</v>
      </c>
      <c r="B44" s="56" t="s">
        <v>63</v>
      </c>
      <c r="C44" s="57" t="s">
        <v>64</v>
      </c>
      <c r="D44" s="58">
        <v>4.1500000000000004</v>
      </c>
      <c r="E44" s="58" t="s">
        <v>11</v>
      </c>
      <c r="F44" s="59" t="str">
        <f t="shared" si="0"/>
        <v>0009</v>
      </c>
      <c r="G44" s="60"/>
      <c r="H44" s="61">
        <v>3</v>
      </c>
      <c r="I44" s="61">
        <v>4</v>
      </c>
      <c r="J44" s="62">
        <f t="shared" si="1"/>
        <v>12.450000000000001</v>
      </c>
      <c r="K44" s="62">
        <f t="shared" si="2"/>
        <v>-1</v>
      </c>
      <c r="L44" s="62">
        <f t="shared" si="3"/>
        <v>-1</v>
      </c>
      <c r="M44" s="63">
        <f t="shared" si="4"/>
        <v>-4.1500000000000004</v>
      </c>
    </row>
    <row r="45" spans="1:13" s="64" customFormat="1" ht="16.5" customHeight="1" x14ac:dyDescent="0.2">
      <c r="A45" s="65" t="s">
        <v>32</v>
      </c>
      <c r="B45" s="65" t="s">
        <v>33</v>
      </c>
      <c r="C45" s="66" t="s">
        <v>109</v>
      </c>
      <c r="D45" s="67">
        <v>3.03</v>
      </c>
      <c r="E45" s="67" t="s">
        <v>11</v>
      </c>
      <c r="F45" s="68" t="str">
        <f t="shared" si="0"/>
        <v>0009</v>
      </c>
      <c r="G45" s="69"/>
      <c r="H45" s="70">
        <v>1</v>
      </c>
      <c r="I45" s="70">
        <v>0</v>
      </c>
      <c r="J45" s="62">
        <f t="shared" si="1"/>
        <v>3.03</v>
      </c>
      <c r="K45" s="62">
        <f t="shared" si="2"/>
        <v>1</v>
      </c>
      <c r="L45" s="62">
        <f t="shared" si="3"/>
        <v>1</v>
      </c>
      <c r="M45" s="63">
        <f t="shared" si="4"/>
        <v>3.03</v>
      </c>
    </row>
    <row r="46" spans="1:13" s="64" customFormat="1" ht="16.5" customHeight="1" x14ac:dyDescent="0.2">
      <c r="A46" s="56" t="s">
        <v>65</v>
      </c>
      <c r="B46" s="56" t="s">
        <v>66</v>
      </c>
      <c r="C46" s="57" t="s">
        <v>290</v>
      </c>
      <c r="D46" s="58">
        <v>6.18</v>
      </c>
      <c r="E46" s="58" t="s">
        <v>11</v>
      </c>
      <c r="F46" s="59" t="str">
        <f t="shared" si="0"/>
        <v>0009</v>
      </c>
      <c r="G46" s="60"/>
      <c r="H46" s="61">
        <v>17</v>
      </c>
      <c r="I46" s="61">
        <v>17</v>
      </c>
      <c r="J46" s="62">
        <f t="shared" si="1"/>
        <v>105.06</v>
      </c>
      <c r="K46" s="62">
        <f t="shared" si="2"/>
        <v>0</v>
      </c>
      <c r="L46" s="62">
        <f t="shared" si="3"/>
        <v>0</v>
      </c>
      <c r="M46" s="63">
        <f t="shared" si="4"/>
        <v>0</v>
      </c>
    </row>
    <row r="47" spans="1:13" s="64" customFormat="1" ht="16.5" customHeight="1" x14ac:dyDescent="0.2">
      <c r="A47" s="56"/>
      <c r="B47" s="56"/>
      <c r="C47" s="57"/>
      <c r="D47" s="58"/>
      <c r="E47" s="58"/>
      <c r="F47" s="59"/>
      <c r="G47" s="60"/>
      <c r="H47" s="61">
        <f t="shared" ref="H47:M47" si="5">SUM(H8:H46)</f>
        <v>8645</v>
      </c>
      <c r="I47" s="61">
        <f t="shared" si="5"/>
        <v>81</v>
      </c>
      <c r="J47" s="62">
        <f t="shared" si="5"/>
        <v>32166.139999999989</v>
      </c>
      <c r="K47" s="62">
        <f t="shared" si="5"/>
        <v>8564</v>
      </c>
      <c r="L47" s="62">
        <f t="shared" si="5"/>
        <v>8564</v>
      </c>
      <c r="M47" s="63">
        <f t="shared" si="5"/>
        <v>31093.23999999998</v>
      </c>
    </row>
    <row r="48" spans="1:13" s="64" customFormat="1" ht="16.5" customHeight="1" x14ac:dyDescent="0.2"/>
    <row r="49" s="64" customFormat="1" ht="16.5" customHeight="1" x14ac:dyDescent="0.2"/>
    <row r="50" s="64" customFormat="1" ht="16.5" customHeight="1" x14ac:dyDescent="0.2"/>
    <row r="51" s="64" customFormat="1" ht="16.5" customHeight="1" x14ac:dyDescent="0.2"/>
    <row r="52" s="64" customFormat="1" ht="16.5" customHeight="1" x14ac:dyDescent="0.2"/>
    <row r="53" s="64" customFormat="1" ht="16.5" customHeight="1" x14ac:dyDescent="0.2"/>
    <row r="54" s="64" customFormat="1" ht="16.5" customHeight="1" x14ac:dyDescent="0.2"/>
    <row r="55" s="64" customFormat="1" ht="16.5" customHeight="1" x14ac:dyDescent="0.2"/>
    <row r="56" s="64" customFormat="1" ht="16.5" customHeight="1" x14ac:dyDescent="0.2"/>
    <row r="57" s="64" customFormat="1" ht="16.5" customHeight="1" x14ac:dyDescent="0.2"/>
    <row r="58" s="64" customFormat="1" ht="16.5" customHeight="1" x14ac:dyDescent="0.2"/>
    <row r="59" s="64" customFormat="1" ht="16.5" customHeight="1" x14ac:dyDescent="0.2"/>
    <row r="60" s="64" customFormat="1" ht="16.5" customHeight="1" x14ac:dyDescent="0.2"/>
    <row r="61" s="64" customFormat="1" ht="16.5" customHeight="1" x14ac:dyDescent="0.2"/>
    <row r="62" s="64" customFormat="1" ht="16.5" customHeight="1" x14ac:dyDescent="0.2"/>
    <row r="63" s="64" customFormat="1" ht="16.5" customHeight="1" x14ac:dyDescent="0.2"/>
    <row r="64" s="64" customFormat="1" ht="16.5" customHeight="1" x14ac:dyDescent="0.2"/>
    <row r="65" s="64" customFormat="1" ht="16.5" customHeight="1" x14ac:dyDescent="0.2"/>
    <row r="66" s="64" customFormat="1" ht="16.5" customHeight="1" x14ac:dyDescent="0.2"/>
    <row r="67" s="64" customFormat="1" ht="16.5" customHeight="1" x14ac:dyDescent="0.2"/>
    <row r="68" s="64" customFormat="1" ht="16.5" customHeight="1" x14ac:dyDescent="0.2"/>
    <row r="69" s="64" customFormat="1" ht="16.5" customHeight="1" x14ac:dyDescent="0.2"/>
    <row r="70" s="64" customFormat="1" ht="16.5" customHeight="1" x14ac:dyDescent="0.2"/>
    <row r="71" s="64" customFormat="1" ht="16.5" customHeight="1" x14ac:dyDescent="0.2"/>
    <row r="72" s="64" customFormat="1" ht="16.5" customHeight="1" x14ac:dyDescent="0.2"/>
    <row r="73" s="64" customFormat="1" ht="16.5" customHeight="1" x14ac:dyDescent="0.2"/>
    <row r="74" s="64" customFormat="1" ht="16.5" customHeight="1" x14ac:dyDescent="0.2"/>
    <row r="75" s="64" customFormat="1" ht="16.5" customHeight="1" x14ac:dyDescent="0.2"/>
    <row r="76" s="64" customFormat="1" ht="16.5" customHeight="1" x14ac:dyDescent="0.2"/>
    <row r="77" s="64" customFormat="1" ht="16.5" customHeight="1" x14ac:dyDescent="0.2"/>
    <row r="78" s="64" customFormat="1" ht="16.5" customHeight="1" x14ac:dyDescent="0.2"/>
    <row r="79" s="64" customFormat="1" ht="16.5" customHeight="1" x14ac:dyDescent="0.2"/>
    <row r="80" s="64" customFormat="1" ht="16.5" customHeight="1" x14ac:dyDescent="0.2"/>
    <row r="81" s="64" customFormat="1" ht="16.5" customHeight="1" x14ac:dyDescent="0.2"/>
    <row r="82" s="64" customFormat="1" ht="16.5" customHeight="1" x14ac:dyDescent="0.2"/>
    <row r="83" s="64" customFormat="1" ht="16.5" customHeight="1" x14ac:dyDescent="0.2"/>
    <row r="84" s="64" customFormat="1" ht="16.5" customHeight="1" x14ac:dyDescent="0.2"/>
    <row r="85" s="64" customFormat="1" ht="16.5" customHeight="1" x14ac:dyDescent="0.2"/>
    <row r="86" s="64" customFormat="1" ht="16.5" customHeight="1" x14ac:dyDescent="0.2"/>
    <row r="87" s="64" customFormat="1" ht="16.5" customHeight="1" x14ac:dyDescent="0.2"/>
    <row r="88" s="64" customFormat="1" ht="16.5" customHeight="1" x14ac:dyDescent="0.2"/>
    <row r="89" s="64" customFormat="1" ht="16.5" customHeight="1" x14ac:dyDescent="0.2"/>
    <row r="90" s="64" customFormat="1" ht="16.5" customHeight="1" x14ac:dyDescent="0.2"/>
    <row r="91" s="64" customFormat="1" ht="16.5" customHeight="1" x14ac:dyDescent="0.2"/>
    <row r="92" s="64" customFormat="1" ht="16.5" customHeight="1" x14ac:dyDescent="0.2"/>
    <row r="93" s="64" customFormat="1" ht="16.5" customHeight="1" x14ac:dyDescent="0.2"/>
    <row r="94" s="64" customFormat="1" ht="16.5" customHeight="1" x14ac:dyDescent="0.2"/>
    <row r="95" s="64" customFormat="1" ht="16.5" customHeight="1" x14ac:dyDescent="0.2"/>
    <row r="96" s="64" customFormat="1" ht="16.5" customHeight="1" x14ac:dyDescent="0.2"/>
    <row r="97" s="64" customFormat="1" ht="16.5" customHeight="1" x14ac:dyDescent="0.2"/>
    <row r="98" s="64" customFormat="1" ht="16.5" customHeight="1" x14ac:dyDescent="0.2"/>
    <row r="99" s="64" customFormat="1" ht="16.5" customHeight="1" x14ac:dyDescent="0.2"/>
    <row r="100" s="64" customFormat="1" ht="16.5" customHeight="1" x14ac:dyDescent="0.2"/>
    <row r="101" s="64" customFormat="1" ht="16.5" customHeight="1" x14ac:dyDescent="0.2"/>
    <row r="102" s="64" customFormat="1" ht="16.5" customHeight="1" x14ac:dyDescent="0.2"/>
    <row r="103" s="64" customFormat="1" ht="16.5" customHeight="1" x14ac:dyDescent="0.2"/>
    <row r="104" s="64" customFormat="1" ht="16.5" customHeight="1" x14ac:dyDescent="0.2"/>
    <row r="105" s="64" customFormat="1" ht="16.5" customHeight="1" x14ac:dyDescent="0.2"/>
    <row r="106" s="64" customFormat="1" ht="16.5" customHeight="1" x14ac:dyDescent="0.2"/>
    <row r="107" s="64" customFormat="1" ht="16.5" customHeight="1" x14ac:dyDescent="0.2"/>
    <row r="108" s="64" customFormat="1" ht="16.5" customHeight="1" x14ac:dyDescent="0.2"/>
    <row r="109" s="64" customFormat="1" ht="16.5" customHeight="1" x14ac:dyDescent="0.2"/>
    <row r="110" s="64" customFormat="1" ht="16.5" customHeight="1" x14ac:dyDescent="0.2"/>
    <row r="111" s="64" customFormat="1" ht="16.5" customHeight="1" x14ac:dyDescent="0.2"/>
    <row r="112" s="64" customFormat="1" ht="16.5" customHeight="1" x14ac:dyDescent="0.2"/>
    <row r="113" s="64" customFormat="1" ht="16.5" customHeight="1" x14ac:dyDescent="0.2"/>
    <row r="114" s="64" customFormat="1" ht="16.5" customHeight="1" x14ac:dyDescent="0.2"/>
    <row r="115" s="64" customFormat="1" ht="16.5" customHeight="1" x14ac:dyDescent="0.2"/>
    <row r="116" s="64" customFormat="1" ht="16.5" customHeight="1" x14ac:dyDescent="0.2"/>
    <row r="117" s="64" customFormat="1" ht="16.5" customHeight="1" x14ac:dyDescent="0.2"/>
    <row r="118" s="64" customFormat="1" ht="16.5" customHeight="1" x14ac:dyDescent="0.2"/>
    <row r="119" s="64" customFormat="1" ht="16.5" customHeight="1" x14ac:dyDescent="0.2"/>
    <row r="120" s="64" customFormat="1" ht="16.5" customHeight="1" x14ac:dyDescent="0.2"/>
    <row r="121" s="64" customFormat="1" ht="16.5" customHeight="1" x14ac:dyDescent="0.2"/>
    <row r="122" s="64" customFormat="1" ht="16.5" customHeight="1" x14ac:dyDescent="0.2"/>
    <row r="123" s="64" customFormat="1" ht="16.5" customHeight="1" x14ac:dyDescent="0.2"/>
    <row r="124" s="64" customFormat="1" ht="16.5" customHeight="1" x14ac:dyDescent="0.2"/>
    <row r="125" s="64" customFormat="1" ht="16.5" customHeight="1" x14ac:dyDescent="0.2"/>
    <row r="126" s="64" customFormat="1" ht="16.5" customHeight="1" x14ac:dyDescent="0.2"/>
    <row r="127" ht="18" customHeight="1" x14ac:dyDescent="0.25"/>
    <row r="128" ht="15.75" customHeight="1" x14ac:dyDescent="0.25"/>
  </sheetData>
  <autoFilter ref="A5:M47" xr:uid="{00000000-0001-0000-0800-000000000000}">
    <filterColumn colId="11" showButton="0"/>
  </autoFilter>
  <mergeCells count="12">
    <mergeCell ref="G6:G7"/>
    <mergeCell ref="K6:L6"/>
    <mergeCell ref="A6:A7"/>
    <mergeCell ref="B6:B7"/>
    <mergeCell ref="C6:C7"/>
    <mergeCell ref="E6:E7"/>
    <mergeCell ref="F6:F7"/>
    <mergeCell ref="A1:B3"/>
    <mergeCell ref="C1:M1"/>
    <mergeCell ref="C2:M2"/>
    <mergeCell ref="C3:I3"/>
    <mergeCell ref="L5:M5"/>
  </mergeCells>
  <conditionalFormatting sqref="A1 A5:B5 A127:A65529">
    <cfRule type="cellIs" dxfId="37" priority="9" operator="greaterThan">
      <formula>1</formula>
    </cfRule>
  </conditionalFormatting>
  <conditionalFormatting sqref="A6:A7">
    <cfRule type="cellIs" dxfId="36" priority="2" operator="greaterThan">
      <formula>1</formula>
    </cfRule>
  </conditionalFormatting>
  <conditionalFormatting sqref="A4:B4 L4:M4">
    <cfRule type="cellIs" dxfId="35" priority="10" operator="equal">
      <formula>12</formula>
    </cfRule>
    <cfRule type="cellIs" dxfId="34" priority="11" operator="equal">
      <formula>17</formula>
    </cfRule>
    <cfRule type="cellIs" dxfId="33" priority="12" operator="equal">
      <formula>5</formula>
    </cfRule>
  </conditionalFormatting>
  <conditionalFormatting sqref="C4:G5 C6 E6:G6 D6:D7 C127:G65529">
    <cfRule type="cellIs" dxfId="32" priority="8" operator="greaterThanOrEqual">
      <formula>0.01</formula>
    </cfRule>
  </conditionalFormatting>
  <conditionalFormatting sqref="K8:L126">
    <cfRule type="cellIs" dxfId="31" priority="5" operator="equal">
      <formula>0</formula>
    </cfRule>
  </conditionalFormatting>
  <conditionalFormatting sqref="M8:M127 J127">
    <cfRule type="cellIs" dxfId="30" priority="6" operator="greaterThanOrEqual">
      <formula>0</formula>
    </cfRule>
    <cfRule type="cellIs" dxfId="29" priority="7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WVR416"/>
  <sheetViews>
    <sheetView tabSelected="1" zoomScaleNormal="100" workbookViewId="0">
      <selection activeCell="A25" sqref="A25:B25"/>
    </sheetView>
  </sheetViews>
  <sheetFormatPr defaultColWidth="11.42578125" defaultRowHeight="15" x14ac:dyDescent="0.25"/>
  <cols>
    <col min="1" max="1" width="9.5703125" style="1" customWidth="1"/>
    <col min="2" max="2" width="50.7109375" style="2" customWidth="1"/>
    <col min="3" max="3" width="12.28515625" style="3" customWidth="1"/>
    <col min="4" max="4" width="8" style="4" customWidth="1"/>
    <col min="5" max="5" width="6.7109375" style="5" customWidth="1"/>
    <col min="6" max="6" width="12.7109375" style="4" customWidth="1"/>
    <col min="7" max="7" width="12.7109375" style="5" customWidth="1"/>
    <col min="8" max="8" width="20.7109375" style="6" customWidth="1"/>
    <col min="9" max="9" width="12.7109375" style="7" customWidth="1"/>
    <col min="10" max="10" width="12.7109375" style="5" hidden="1" customWidth="1"/>
    <col min="11" max="12" width="12.7109375" style="8" customWidth="1"/>
    <col min="13" max="13" width="12.7109375" style="5" customWidth="1"/>
    <col min="14" max="256" width="11.42578125" style="9"/>
    <col min="257" max="257" width="9.5703125" style="9" customWidth="1"/>
    <col min="258" max="258" width="50.7109375" style="9" customWidth="1"/>
    <col min="259" max="259" width="12.28515625" style="9" customWidth="1"/>
    <col min="260" max="260" width="8" style="9" customWidth="1"/>
    <col min="261" max="261" width="6.7109375" style="9" customWidth="1"/>
    <col min="262" max="263" width="12.7109375" style="9" customWidth="1"/>
    <col min="264" max="264" width="20.7109375" style="9" customWidth="1"/>
    <col min="265" max="265" width="12.7109375" style="9" customWidth="1"/>
    <col min="266" max="266" width="11.5703125" style="9" hidden="1" customWidth="1"/>
    <col min="267" max="269" width="12.7109375" style="9" customWidth="1"/>
    <col min="270" max="512" width="11.42578125" style="9"/>
    <col min="513" max="513" width="9.5703125" style="9" customWidth="1"/>
    <col min="514" max="514" width="50.7109375" style="9" customWidth="1"/>
    <col min="515" max="515" width="12.28515625" style="9" customWidth="1"/>
    <col min="516" max="516" width="8" style="9" customWidth="1"/>
    <col min="517" max="517" width="6.7109375" style="9" customWidth="1"/>
    <col min="518" max="519" width="12.7109375" style="9" customWidth="1"/>
    <col min="520" max="520" width="20.7109375" style="9" customWidth="1"/>
    <col min="521" max="521" width="12.7109375" style="9" customWidth="1"/>
    <col min="522" max="522" width="11.5703125" style="9" hidden="1" customWidth="1"/>
    <col min="523" max="525" width="12.7109375" style="9" customWidth="1"/>
    <col min="526" max="768" width="11.42578125" style="9"/>
    <col min="769" max="769" width="9.5703125" style="9" customWidth="1"/>
    <col min="770" max="770" width="50.7109375" style="9" customWidth="1"/>
    <col min="771" max="771" width="12.28515625" style="9" customWidth="1"/>
    <col min="772" max="772" width="8" style="9" customWidth="1"/>
    <col min="773" max="773" width="6.7109375" style="9" customWidth="1"/>
    <col min="774" max="775" width="12.7109375" style="9" customWidth="1"/>
    <col min="776" max="776" width="20.7109375" style="9" customWidth="1"/>
    <col min="777" max="777" width="12.7109375" style="9" customWidth="1"/>
    <col min="778" max="778" width="11.5703125" style="9" hidden="1" customWidth="1"/>
    <col min="779" max="781" width="12.7109375" style="9" customWidth="1"/>
    <col min="782" max="1024" width="11.42578125" style="9"/>
    <col min="1025" max="1025" width="9.5703125" style="9" customWidth="1"/>
    <col min="1026" max="1026" width="50.7109375" style="9" customWidth="1"/>
    <col min="1027" max="1027" width="12.28515625" style="9" customWidth="1"/>
    <col min="1028" max="1028" width="8" style="9" customWidth="1"/>
    <col min="1029" max="1029" width="6.7109375" style="9" customWidth="1"/>
    <col min="1030" max="1031" width="12.7109375" style="9" customWidth="1"/>
    <col min="1032" max="1032" width="20.7109375" style="9" customWidth="1"/>
    <col min="1033" max="1033" width="12.7109375" style="9" customWidth="1"/>
    <col min="1034" max="1034" width="11.5703125" style="9" hidden="1" customWidth="1"/>
    <col min="1035" max="1037" width="12.7109375" style="9" customWidth="1"/>
    <col min="1038" max="1280" width="11.42578125" style="9"/>
    <col min="1281" max="1281" width="9.5703125" style="9" customWidth="1"/>
    <col min="1282" max="1282" width="50.7109375" style="9" customWidth="1"/>
    <col min="1283" max="1283" width="12.28515625" style="9" customWidth="1"/>
    <col min="1284" max="1284" width="8" style="9" customWidth="1"/>
    <col min="1285" max="1285" width="6.7109375" style="9" customWidth="1"/>
    <col min="1286" max="1287" width="12.7109375" style="9" customWidth="1"/>
    <col min="1288" max="1288" width="20.7109375" style="9" customWidth="1"/>
    <col min="1289" max="1289" width="12.7109375" style="9" customWidth="1"/>
    <col min="1290" max="1290" width="11.5703125" style="9" hidden="1" customWidth="1"/>
    <col min="1291" max="1293" width="12.7109375" style="9" customWidth="1"/>
    <col min="1294" max="1536" width="11.42578125" style="9"/>
    <col min="1537" max="1537" width="9.5703125" style="9" customWidth="1"/>
    <col min="1538" max="1538" width="50.7109375" style="9" customWidth="1"/>
    <col min="1539" max="1539" width="12.28515625" style="9" customWidth="1"/>
    <col min="1540" max="1540" width="8" style="9" customWidth="1"/>
    <col min="1541" max="1541" width="6.7109375" style="9" customWidth="1"/>
    <col min="1542" max="1543" width="12.7109375" style="9" customWidth="1"/>
    <col min="1544" max="1544" width="20.7109375" style="9" customWidth="1"/>
    <col min="1545" max="1545" width="12.7109375" style="9" customWidth="1"/>
    <col min="1546" max="1546" width="11.5703125" style="9" hidden="1" customWidth="1"/>
    <col min="1547" max="1549" width="12.7109375" style="9" customWidth="1"/>
    <col min="1550" max="1792" width="11.42578125" style="9"/>
    <col min="1793" max="1793" width="9.5703125" style="9" customWidth="1"/>
    <col min="1794" max="1794" width="50.7109375" style="9" customWidth="1"/>
    <col min="1795" max="1795" width="12.28515625" style="9" customWidth="1"/>
    <col min="1796" max="1796" width="8" style="9" customWidth="1"/>
    <col min="1797" max="1797" width="6.7109375" style="9" customWidth="1"/>
    <col min="1798" max="1799" width="12.7109375" style="9" customWidth="1"/>
    <col min="1800" max="1800" width="20.7109375" style="9" customWidth="1"/>
    <col min="1801" max="1801" width="12.7109375" style="9" customWidth="1"/>
    <col min="1802" max="1802" width="11.5703125" style="9" hidden="1" customWidth="1"/>
    <col min="1803" max="1805" width="12.7109375" style="9" customWidth="1"/>
    <col min="1806" max="2048" width="11.42578125" style="9"/>
    <col min="2049" max="2049" width="9.5703125" style="9" customWidth="1"/>
    <col min="2050" max="2050" width="50.7109375" style="9" customWidth="1"/>
    <col min="2051" max="2051" width="12.28515625" style="9" customWidth="1"/>
    <col min="2052" max="2052" width="8" style="9" customWidth="1"/>
    <col min="2053" max="2053" width="6.7109375" style="9" customWidth="1"/>
    <col min="2054" max="2055" width="12.7109375" style="9" customWidth="1"/>
    <col min="2056" max="2056" width="20.7109375" style="9" customWidth="1"/>
    <col min="2057" max="2057" width="12.7109375" style="9" customWidth="1"/>
    <col min="2058" max="2058" width="11.5703125" style="9" hidden="1" customWidth="1"/>
    <col min="2059" max="2061" width="12.7109375" style="9" customWidth="1"/>
    <col min="2062" max="2304" width="11.42578125" style="9"/>
    <col min="2305" max="2305" width="9.5703125" style="9" customWidth="1"/>
    <col min="2306" max="2306" width="50.7109375" style="9" customWidth="1"/>
    <col min="2307" max="2307" width="12.28515625" style="9" customWidth="1"/>
    <col min="2308" max="2308" width="8" style="9" customWidth="1"/>
    <col min="2309" max="2309" width="6.7109375" style="9" customWidth="1"/>
    <col min="2310" max="2311" width="12.7109375" style="9" customWidth="1"/>
    <col min="2312" max="2312" width="20.7109375" style="9" customWidth="1"/>
    <col min="2313" max="2313" width="12.7109375" style="9" customWidth="1"/>
    <col min="2314" max="2314" width="11.5703125" style="9" hidden="1" customWidth="1"/>
    <col min="2315" max="2317" width="12.7109375" style="9" customWidth="1"/>
    <col min="2318" max="2560" width="11.42578125" style="9"/>
    <col min="2561" max="2561" width="9.5703125" style="9" customWidth="1"/>
    <col min="2562" max="2562" width="50.7109375" style="9" customWidth="1"/>
    <col min="2563" max="2563" width="12.28515625" style="9" customWidth="1"/>
    <col min="2564" max="2564" width="8" style="9" customWidth="1"/>
    <col min="2565" max="2565" width="6.7109375" style="9" customWidth="1"/>
    <col min="2566" max="2567" width="12.7109375" style="9" customWidth="1"/>
    <col min="2568" max="2568" width="20.7109375" style="9" customWidth="1"/>
    <col min="2569" max="2569" width="12.7109375" style="9" customWidth="1"/>
    <col min="2570" max="2570" width="11.5703125" style="9" hidden="1" customWidth="1"/>
    <col min="2571" max="2573" width="12.7109375" style="9" customWidth="1"/>
    <col min="2574" max="2816" width="11.42578125" style="9"/>
    <col min="2817" max="2817" width="9.5703125" style="9" customWidth="1"/>
    <col min="2818" max="2818" width="50.7109375" style="9" customWidth="1"/>
    <col min="2819" max="2819" width="12.28515625" style="9" customWidth="1"/>
    <col min="2820" max="2820" width="8" style="9" customWidth="1"/>
    <col min="2821" max="2821" width="6.7109375" style="9" customWidth="1"/>
    <col min="2822" max="2823" width="12.7109375" style="9" customWidth="1"/>
    <col min="2824" max="2824" width="20.7109375" style="9" customWidth="1"/>
    <col min="2825" max="2825" width="12.7109375" style="9" customWidth="1"/>
    <col min="2826" max="2826" width="11.5703125" style="9" hidden="1" customWidth="1"/>
    <col min="2827" max="2829" width="12.7109375" style="9" customWidth="1"/>
    <col min="2830" max="3072" width="11.42578125" style="9"/>
    <col min="3073" max="3073" width="9.5703125" style="9" customWidth="1"/>
    <col min="3074" max="3074" width="50.7109375" style="9" customWidth="1"/>
    <col min="3075" max="3075" width="12.28515625" style="9" customWidth="1"/>
    <col min="3076" max="3076" width="8" style="9" customWidth="1"/>
    <col min="3077" max="3077" width="6.7109375" style="9" customWidth="1"/>
    <col min="3078" max="3079" width="12.7109375" style="9" customWidth="1"/>
    <col min="3080" max="3080" width="20.7109375" style="9" customWidth="1"/>
    <col min="3081" max="3081" width="12.7109375" style="9" customWidth="1"/>
    <col min="3082" max="3082" width="11.5703125" style="9" hidden="1" customWidth="1"/>
    <col min="3083" max="3085" width="12.7109375" style="9" customWidth="1"/>
    <col min="3086" max="3328" width="11.42578125" style="9"/>
    <col min="3329" max="3329" width="9.5703125" style="9" customWidth="1"/>
    <col min="3330" max="3330" width="50.7109375" style="9" customWidth="1"/>
    <col min="3331" max="3331" width="12.28515625" style="9" customWidth="1"/>
    <col min="3332" max="3332" width="8" style="9" customWidth="1"/>
    <col min="3333" max="3333" width="6.7109375" style="9" customWidth="1"/>
    <col min="3334" max="3335" width="12.7109375" style="9" customWidth="1"/>
    <col min="3336" max="3336" width="20.7109375" style="9" customWidth="1"/>
    <col min="3337" max="3337" width="12.7109375" style="9" customWidth="1"/>
    <col min="3338" max="3338" width="11.5703125" style="9" hidden="1" customWidth="1"/>
    <col min="3339" max="3341" width="12.7109375" style="9" customWidth="1"/>
    <col min="3342" max="3584" width="11.42578125" style="9"/>
    <col min="3585" max="3585" width="9.5703125" style="9" customWidth="1"/>
    <col min="3586" max="3586" width="50.7109375" style="9" customWidth="1"/>
    <col min="3587" max="3587" width="12.28515625" style="9" customWidth="1"/>
    <col min="3588" max="3588" width="8" style="9" customWidth="1"/>
    <col min="3589" max="3589" width="6.7109375" style="9" customWidth="1"/>
    <col min="3590" max="3591" width="12.7109375" style="9" customWidth="1"/>
    <col min="3592" max="3592" width="20.7109375" style="9" customWidth="1"/>
    <col min="3593" max="3593" width="12.7109375" style="9" customWidth="1"/>
    <col min="3594" max="3594" width="11.5703125" style="9" hidden="1" customWidth="1"/>
    <col min="3595" max="3597" width="12.7109375" style="9" customWidth="1"/>
    <col min="3598" max="3840" width="11.42578125" style="9"/>
    <col min="3841" max="3841" width="9.5703125" style="9" customWidth="1"/>
    <col min="3842" max="3842" width="50.7109375" style="9" customWidth="1"/>
    <col min="3843" max="3843" width="12.28515625" style="9" customWidth="1"/>
    <col min="3844" max="3844" width="8" style="9" customWidth="1"/>
    <col min="3845" max="3845" width="6.7109375" style="9" customWidth="1"/>
    <col min="3846" max="3847" width="12.7109375" style="9" customWidth="1"/>
    <col min="3848" max="3848" width="20.7109375" style="9" customWidth="1"/>
    <col min="3849" max="3849" width="12.7109375" style="9" customWidth="1"/>
    <col min="3850" max="3850" width="11.5703125" style="9" hidden="1" customWidth="1"/>
    <col min="3851" max="3853" width="12.7109375" style="9" customWidth="1"/>
    <col min="3854" max="4096" width="11.42578125" style="9"/>
    <col min="4097" max="4097" width="9.5703125" style="9" customWidth="1"/>
    <col min="4098" max="4098" width="50.7109375" style="9" customWidth="1"/>
    <col min="4099" max="4099" width="12.28515625" style="9" customWidth="1"/>
    <col min="4100" max="4100" width="8" style="9" customWidth="1"/>
    <col min="4101" max="4101" width="6.7109375" style="9" customWidth="1"/>
    <col min="4102" max="4103" width="12.7109375" style="9" customWidth="1"/>
    <col min="4104" max="4104" width="20.7109375" style="9" customWidth="1"/>
    <col min="4105" max="4105" width="12.7109375" style="9" customWidth="1"/>
    <col min="4106" max="4106" width="11.5703125" style="9" hidden="1" customWidth="1"/>
    <col min="4107" max="4109" width="12.7109375" style="9" customWidth="1"/>
    <col min="4110" max="4352" width="11.42578125" style="9"/>
    <col min="4353" max="4353" width="9.5703125" style="9" customWidth="1"/>
    <col min="4354" max="4354" width="50.7109375" style="9" customWidth="1"/>
    <col min="4355" max="4355" width="12.28515625" style="9" customWidth="1"/>
    <col min="4356" max="4356" width="8" style="9" customWidth="1"/>
    <col min="4357" max="4357" width="6.7109375" style="9" customWidth="1"/>
    <col min="4358" max="4359" width="12.7109375" style="9" customWidth="1"/>
    <col min="4360" max="4360" width="20.7109375" style="9" customWidth="1"/>
    <col min="4361" max="4361" width="12.7109375" style="9" customWidth="1"/>
    <col min="4362" max="4362" width="11.5703125" style="9" hidden="1" customWidth="1"/>
    <col min="4363" max="4365" width="12.7109375" style="9" customWidth="1"/>
    <col min="4366" max="4608" width="11.42578125" style="9"/>
    <col min="4609" max="4609" width="9.5703125" style="9" customWidth="1"/>
    <col min="4610" max="4610" width="50.7109375" style="9" customWidth="1"/>
    <col min="4611" max="4611" width="12.28515625" style="9" customWidth="1"/>
    <col min="4612" max="4612" width="8" style="9" customWidth="1"/>
    <col min="4613" max="4613" width="6.7109375" style="9" customWidth="1"/>
    <col min="4614" max="4615" width="12.7109375" style="9" customWidth="1"/>
    <col min="4616" max="4616" width="20.7109375" style="9" customWidth="1"/>
    <col min="4617" max="4617" width="12.7109375" style="9" customWidth="1"/>
    <col min="4618" max="4618" width="11.5703125" style="9" hidden="1" customWidth="1"/>
    <col min="4619" max="4621" width="12.7109375" style="9" customWidth="1"/>
    <col min="4622" max="4864" width="11.42578125" style="9"/>
    <col min="4865" max="4865" width="9.5703125" style="9" customWidth="1"/>
    <col min="4866" max="4866" width="50.7109375" style="9" customWidth="1"/>
    <col min="4867" max="4867" width="12.28515625" style="9" customWidth="1"/>
    <col min="4868" max="4868" width="8" style="9" customWidth="1"/>
    <col min="4869" max="4869" width="6.7109375" style="9" customWidth="1"/>
    <col min="4870" max="4871" width="12.7109375" style="9" customWidth="1"/>
    <col min="4872" max="4872" width="20.7109375" style="9" customWidth="1"/>
    <col min="4873" max="4873" width="12.7109375" style="9" customWidth="1"/>
    <col min="4874" max="4874" width="11.5703125" style="9" hidden="1" customWidth="1"/>
    <col min="4875" max="4877" width="12.7109375" style="9" customWidth="1"/>
    <col min="4878" max="5120" width="11.42578125" style="9"/>
    <col min="5121" max="5121" width="9.5703125" style="9" customWidth="1"/>
    <col min="5122" max="5122" width="50.7109375" style="9" customWidth="1"/>
    <col min="5123" max="5123" width="12.28515625" style="9" customWidth="1"/>
    <col min="5124" max="5124" width="8" style="9" customWidth="1"/>
    <col min="5125" max="5125" width="6.7109375" style="9" customWidth="1"/>
    <col min="5126" max="5127" width="12.7109375" style="9" customWidth="1"/>
    <col min="5128" max="5128" width="20.7109375" style="9" customWidth="1"/>
    <col min="5129" max="5129" width="12.7109375" style="9" customWidth="1"/>
    <col min="5130" max="5130" width="11.5703125" style="9" hidden="1" customWidth="1"/>
    <col min="5131" max="5133" width="12.7109375" style="9" customWidth="1"/>
    <col min="5134" max="5376" width="11.42578125" style="9"/>
    <col min="5377" max="5377" width="9.5703125" style="9" customWidth="1"/>
    <col min="5378" max="5378" width="50.7109375" style="9" customWidth="1"/>
    <col min="5379" max="5379" width="12.28515625" style="9" customWidth="1"/>
    <col min="5380" max="5380" width="8" style="9" customWidth="1"/>
    <col min="5381" max="5381" width="6.7109375" style="9" customWidth="1"/>
    <col min="5382" max="5383" width="12.7109375" style="9" customWidth="1"/>
    <col min="5384" max="5384" width="20.7109375" style="9" customWidth="1"/>
    <col min="5385" max="5385" width="12.7109375" style="9" customWidth="1"/>
    <col min="5386" max="5386" width="11.5703125" style="9" hidden="1" customWidth="1"/>
    <col min="5387" max="5389" width="12.7109375" style="9" customWidth="1"/>
    <col min="5390" max="5632" width="11.42578125" style="9"/>
    <col min="5633" max="5633" width="9.5703125" style="9" customWidth="1"/>
    <col min="5634" max="5634" width="50.7109375" style="9" customWidth="1"/>
    <col min="5635" max="5635" width="12.28515625" style="9" customWidth="1"/>
    <col min="5636" max="5636" width="8" style="9" customWidth="1"/>
    <col min="5637" max="5637" width="6.7109375" style="9" customWidth="1"/>
    <col min="5638" max="5639" width="12.7109375" style="9" customWidth="1"/>
    <col min="5640" max="5640" width="20.7109375" style="9" customWidth="1"/>
    <col min="5641" max="5641" width="12.7109375" style="9" customWidth="1"/>
    <col min="5642" max="5642" width="11.5703125" style="9" hidden="1" customWidth="1"/>
    <col min="5643" max="5645" width="12.7109375" style="9" customWidth="1"/>
    <col min="5646" max="5888" width="11.42578125" style="9"/>
    <col min="5889" max="5889" width="9.5703125" style="9" customWidth="1"/>
    <col min="5890" max="5890" width="50.7109375" style="9" customWidth="1"/>
    <col min="5891" max="5891" width="12.28515625" style="9" customWidth="1"/>
    <col min="5892" max="5892" width="8" style="9" customWidth="1"/>
    <col min="5893" max="5893" width="6.7109375" style="9" customWidth="1"/>
    <col min="5894" max="5895" width="12.7109375" style="9" customWidth="1"/>
    <col min="5896" max="5896" width="20.7109375" style="9" customWidth="1"/>
    <col min="5897" max="5897" width="12.7109375" style="9" customWidth="1"/>
    <col min="5898" max="5898" width="11.5703125" style="9" hidden="1" customWidth="1"/>
    <col min="5899" max="5901" width="12.7109375" style="9" customWidth="1"/>
    <col min="5902" max="6144" width="11.42578125" style="9"/>
    <col min="6145" max="6145" width="9.5703125" style="9" customWidth="1"/>
    <col min="6146" max="6146" width="50.7109375" style="9" customWidth="1"/>
    <col min="6147" max="6147" width="12.28515625" style="9" customWidth="1"/>
    <col min="6148" max="6148" width="8" style="9" customWidth="1"/>
    <col min="6149" max="6149" width="6.7109375" style="9" customWidth="1"/>
    <col min="6150" max="6151" width="12.7109375" style="9" customWidth="1"/>
    <col min="6152" max="6152" width="20.7109375" style="9" customWidth="1"/>
    <col min="6153" max="6153" width="12.7109375" style="9" customWidth="1"/>
    <col min="6154" max="6154" width="11.5703125" style="9" hidden="1" customWidth="1"/>
    <col min="6155" max="6157" width="12.7109375" style="9" customWidth="1"/>
    <col min="6158" max="6400" width="11.42578125" style="9"/>
    <col min="6401" max="6401" width="9.5703125" style="9" customWidth="1"/>
    <col min="6402" max="6402" width="50.7109375" style="9" customWidth="1"/>
    <col min="6403" max="6403" width="12.28515625" style="9" customWidth="1"/>
    <col min="6404" max="6404" width="8" style="9" customWidth="1"/>
    <col min="6405" max="6405" width="6.7109375" style="9" customWidth="1"/>
    <col min="6406" max="6407" width="12.7109375" style="9" customWidth="1"/>
    <col min="6408" max="6408" width="20.7109375" style="9" customWidth="1"/>
    <col min="6409" max="6409" width="12.7109375" style="9" customWidth="1"/>
    <col min="6410" max="6410" width="11.5703125" style="9" hidden="1" customWidth="1"/>
    <col min="6411" max="6413" width="12.7109375" style="9" customWidth="1"/>
    <col min="6414" max="6656" width="11.42578125" style="9"/>
    <col min="6657" max="6657" width="9.5703125" style="9" customWidth="1"/>
    <col min="6658" max="6658" width="50.7109375" style="9" customWidth="1"/>
    <col min="6659" max="6659" width="12.28515625" style="9" customWidth="1"/>
    <col min="6660" max="6660" width="8" style="9" customWidth="1"/>
    <col min="6661" max="6661" width="6.7109375" style="9" customWidth="1"/>
    <col min="6662" max="6663" width="12.7109375" style="9" customWidth="1"/>
    <col min="6664" max="6664" width="20.7109375" style="9" customWidth="1"/>
    <col min="6665" max="6665" width="12.7109375" style="9" customWidth="1"/>
    <col min="6666" max="6666" width="11.5703125" style="9" hidden="1" customWidth="1"/>
    <col min="6667" max="6669" width="12.7109375" style="9" customWidth="1"/>
    <col min="6670" max="6912" width="11.42578125" style="9"/>
    <col min="6913" max="6913" width="9.5703125" style="9" customWidth="1"/>
    <col min="6914" max="6914" width="50.7109375" style="9" customWidth="1"/>
    <col min="6915" max="6915" width="12.28515625" style="9" customWidth="1"/>
    <col min="6916" max="6916" width="8" style="9" customWidth="1"/>
    <col min="6917" max="6917" width="6.7109375" style="9" customWidth="1"/>
    <col min="6918" max="6919" width="12.7109375" style="9" customWidth="1"/>
    <col min="6920" max="6920" width="20.7109375" style="9" customWidth="1"/>
    <col min="6921" max="6921" width="12.7109375" style="9" customWidth="1"/>
    <col min="6922" max="6922" width="11.5703125" style="9" hidden="1" customWidth="1"/>
    <col min="6923" max="6925" width="12.7109375" style="9" customWidth="1"/>
    <col min="6926" max="7168" width="11.42578125" style="9"/>
    <col min="7169" max="7169" width="9.5703125" style="9" customWidth="1"/>
    <col min="7170" max="7170" width="50.7109375" style="9" customWidth="1"/>
    <col min="7171" max="7171" width="12.28515625" style="9" customWidth="1"/>
    <col min="7172" max="7172" width="8" style="9" customWidth="1"/>
    <col min="7173" max="7173" width="6.7109375" style="9" customWidth="1"/>
    <col min="7174" max="7175" width="12.7109375" style="9" customWidth="1"/>
    <col min="7176" max="7176" width="20.7109375" style="9" customWidth="1"/>
    <col min="7177" max="7177" width="12.7109375" style="9" customWidth="1"/>
    <col min="7178" max="7178" width="11.5703125" style="9" hidden="1" customWidth="1"/>
    <col min="7179" max="7181" width="12.7109375" style="9" customWidth="1"/>
    <col min="7182" max="7424" width="11.42578125" style="9"/>
    <col min="7425" max="7425" width="9.5703125" style="9" customWidth="1"/>
    <col min="7426" max="7426" width="50.7109375" style="9" customWidth="1"/>
    <col min="7427" max="7427" width="12.28515625" style="9" customWidth="1"/>
    <col min="7428" max="7428" width="8" style="9" customWidth="1"/>
    <col min="7429" max="7429" width="6.7109375" style="9" customWidth="1"/>
    <col min="7430" max="7431" width="12.7109375" style="9" customWidth="1"/>
    <col min="7432" max="7432" width="20.7109375" style="9" customWidth="1"/>
    <col min="7433" max="7433" width="12.7109375" style="9" customWidth="1"/>
    <col min="7434" max="7434" width="11.5703125" style="9" hidden="1" customWidth="1"/>
    <col min="7435" max="7437" width="12.7109375" style="9" customWidth="1"/>
    <col min="7438" max="7680" width="11.42578125" style="9"/>
    <col min="7681" max="7681" width="9.5703125" style="9" customWidth="1"/>
    <col min="7682" max="7682" width="50.7109375" style="9" customWidth="1"/>
    <col min="7683" max="7683" width="12.28515625" style="9" customWidth="1"/>
    <col min="7684" max="7684" width="8" style="9" customWidth="1"/>
    <col min="7685" max="7685" width="6.7109375" style="9" customWidth="1"/>
    <col min="7686" max="7687" width="12.7109375" style="9" customWidth="1"/>
    <col min="7688" max="7688" width="20.7109375" style="9" customWidth="1"/>
    <col min="7689" max="7689" width="12.7109375" style="9" customWidth="1"/>
    <col min="7690" max="7690" width="11.5703125" style="9" hidden="1" customWidth="1"/>
    <col min="7691" max="7693" width="12.7109375" style="9" customWidth="1"/>
    <col min="7694" max="7936" width="11.42578125" style="9"/>
    <col min="7937" max="7937" width="9.5703125" style="9" customWidth="1"/>
    <col min="7938" max="7938" width="50.7109375" style="9" customWidth="1"/>
    <col min="7939" max="7939" width="12.28515625" style="9" customWidth="1"/>
    <col min="7940" max="7940" width="8" style="9" customWidth="1"/>
    <col min="7941" max="7941" width="6.7109375" style="9" customWidth="1"/>
    <col min="7942" max="7943" width="12.7109375" style="9" customWidth="1"/>
    <col min="7944" max="7944" width="20.7109375" style="9" customWidth="1"/>
    <col min="7945" max="7945" width="12.7109375" style="9" customWidth="1"/>
    <col min="7946" max="7946" width="11.5703125" style="9" hidden="1" customWidth="1"/>
    <col min="7947" max="7949" width="12.7109375" style="9" customWidth="1"/>
    <col min="7950" max="8192" width="11.42578125" style="9"/>
    <col min="8193" max="8193" width="9.5703125" style="9" customWidth="1"/>
    <col min="8194" max="8194" width="50.7109375" style="9" customWidth="1"/>
    <col min="8195" max="8195" width="12.28515625" style="9" customWidth="1"/>
    <col min="8196" max="8196" width="8" style="9" customWidth="1"/>
    <col min="8197" max="8197" width="6.7109375" style="9" customWidth="1"/>
    <col min="8198" max="8199" width="12.7109375" style="9" customWidth="1"/>
    <col min="8200" max="8200" width="20.7109375" style="9" customWidth="1"/>
    <col min="8201" max="8201" width="12.7109375" style="9" customWidth="1"/>
    <col min="8202" max="8202" width="11.5703125" style="9" hidden="1" customWidth="1"/>
    <col min="8203" max="8205" width="12.7109375" style="9" customWidth="1"/>
    <col min="8206" max="8448" width="11.42578125" style="9"/>
    <col min="8449" max="8449" width="9.5703125" style="9" customWidth="1"/>
    <col min="8450" max="8450" width="50.7109375" style="9" customWidth="1"/>
    <col min="8451" max="8451" width="12.28515625" style="9" customWidth="1"/>
    <col min="8452" max="8452" width="8" style="9" customWidth="1"/>
    <col min="8453" max="8453" width="6.7109375" style="9" customWidth="1"/>
    <col min="8454" max="8455" width="12.7109375" style="9" customWidth="1"/>
    <col min="8456" max="8456" width="20.7109375" style="9" customWidth="1"/>
    <col min="8457" max="8457" width="12.7109375" style="9" customWidth="1"/>
    <col min="8458" max="8458" width="11.5703125" style="9" hidden="1" customWidth="1"/>
    <col min="8459" max="8461" width="12.7109375" style="9" customWidth="1"/>
    <col min="8462" max="8704" width="11.42578125" style="9"/>
    <col min="8705" max="8705" width="9.5703125" style="9" customWidth="1"/>
    <col min="8706" max="8706" width="50.7109375" style="9" customWidth="1"/>
    <col min="8707" max="8707" width="12.28515625" style="9" customWidth="1"/>
    <col min="8708" max="8708" width="8" style="9" customWidth="1"/>
    <col min="8709" max="8709" width="6.7109375" style="9" customWidth="1"/>
    <col min="8710" max="8711" width="12.7109375" style="9" customWidth="1"/>
    <col min="8712" max="8712" width="20.7109375" style="9" customWidth="1"/>
    <col min="8713" max="8713" width="12.7109375" style="9" customWidth="1"/>
    <col min="8714" max="8714" width="11.5703125" style="9" hidden="1" customWidth="1"/>
    <col min="8715" max="8717" width="12.7109375" style="9" customWidth="1"/>
    <col min="8718" max="8960" width="11.42578125" style="9"/>
    <col min="8961" max="8961" width="9.5703125" style="9" customWidth="1"/>
    <col min="8962" max="8962" width="50.7109375" style="9" customWidth="1"/>
    <col min="8963" max="8963" width="12.28515625" style="9" customWidth="1"/>
    <col min="8964" max="8964" width="8" style="9" customWidth="1"/>
    <col min="8965" max="8965" width="6.7109375" style="9" customWidth="1"/>
    <col min="8966" max="8967" width="12.7109375" style="9" customWidth="1"/>
    <col min="8968" max="8968" width="20.7109375" style="9" customWidth="1"/>
    <col min="8969" max="8969" width="12.7109375" style="9" customWidth="1"/>
    <col min="8970" max="8970" width="11.5703125" style="9" hidden="1" customWidth="1"/>
    <col min="8971" max="8973" width="12.7109375" style="9" customWidth="1"/>
    <col min="8974" max="9216" width="11.42578125" style="9"/>
    <col min="9217" max="9217" width="9.5703125" style="9" customWidth="1"/>
    <col min="9218" max="9218" width="50.7109375" style="9" customWidth="1"/>
    <col min="9219" max="9219" width="12.28515625" style="9" customWidth="1"/>
    <col min="9220" max="9220" width="8" style="9" customWidth="1"/>
    <col min="9221" max="9221" width="6.7109375" style="9" customWidth="1"/>
    <col min="9222" max="9223" width="12.7109375" style="9" customWidth="1"/>
    <col min="9224" max="9224" width="20.7109375" style="9" customWidth="1"/>
    <col min="9225" max="9225" width="12.7109375" style="9" customWidth="1"/>
    <col min="9226" max="9226" width="11.5703125" style="9" hidden="1" customWidth="1"/>
    <col min="9227" max="9229" width="12.7109375" style="9" customWidth="1"/>
    <col min="9230" max="9472" width="11.42578125" style="9"/>
    <col min="9473" max="9473" width="9.5703125" style="9" customWidth="1"/>
    <col min="9474" max="9474" width="50.7109375" style="9" customWidth="1"/>
    <col min="9475" max="9475" width="12.28515625" style="9" customWidth="1"/>
    <col min="9476" max="9476" width="8" style="9" customWidth="1"/>
    <col min="9477" max="9477" width="6.7109375" style="9" customWidth="1"/>
    <col min="9478" max="9479" width="12.7109375" style="9" customWidth="1"/>
    <col min="9480" max="9480" width="20.7109375" style="9" customWidth="1"/>
    <col min="9481" max="9481" width="12.7109375" style="9" customWidth="1"/>
    <col min="9482" max="9482" width="11.5703125" style="9" hidden="1" customWidth="1"/>
    <col min="9483" max="9485" width="12.7109375" style="9" customWidth="1"/>
    <col min="9486" max="9728" width="11.42578125" style="9"/>
    <col min="9729" max="9729" width="9.5703125" style="9" customWidth="1"/>
    <col min="9730" max="9730" width="50.7109375" style="9" customWidth="1"/>
    <col min="9731" max="9731" width="12.28515625" style="9" customWidth="1"/>
    <col min="9732" max="9732" width="8" style="9" customWidth="1"/>
    <col min="9733" max="9733" width="6.7109375" style="9" customWidth="1"/>
    <col min="9734" max="9735" width="12.7109375" style="9" customWidth="1"/>
    <col min="9736" max="9736" width="20.7109375" style="9" customWidth="1"/>
    <col min="9737" max="9737" width="12.7109375" style="9" customWidth="1"/>
    <col min="9738" max="9738" width="11.5703125" style="9" hidden="1" customWidth="1"/>
    <col min="9739" max="9741" width="12.7109375" style="9" customWidth="1"/>
    <col min="9742" max="9984" width="11.42578125" style="9"/>
    <col min="9985" max="9985" width="9.5703125" style="9" customWidth="1"/>
    <col min="9986" max="9986" width="50.7109375" style="9" customWidth="1"/>
    <col min="9987" max="9987" width="12.28515625" style="9" customWidth="1"/>
    <col min="9988" max="9988" width="8" style="9" customWidth="1"/>
    <col min="9989" max="9989" width="6.7109375" style="9" customWidth="1"/>
    <col min="9990" max="9991" width="12.7109375" style="9" customWidth="1"/>
    <col min="9992" max="9992" width="20.7109375" style="9" customWidth="1"/>
    <col min="9993" max="9993" width="12.7109375" style="9" customWidth="1"/>
    <col min="9994" max="9994" width="11.5703125" style="9" hidden="1" customWidth="1"/>
    <col min="9995" max="9997" width="12.7109375" style="9" customWidth="1"/>
    <col min="9998" max="10240" width="11.42578125" style="9"/>
    <col min="10241" max="10241" width="9.5703125" style="9" customWidth="1"/>
    <col min="10242" max="10242" width="50.7109375" style="9" customWidth="1"/>
    <col min="10243" max="10243" width="12.28515625" style="9" customWidth="1"/>
    <col min="10244" max="10244" width="8" style="9" customWidth="1"/>
    <col min="10245" max="10245" width="6.7109375" style="9" customWidth="1"/>
    <col min="10246" max="10247" width="12.7109375" style="9" customWidth="1"/>
    <col min="10248" max="10248" width="20.7109375" style="9" customWidth="1"/>
    <col min="10249" max="10249" width="12.7109375" style="9" customWidth="1"/>
    <col min="10250" max="10250" width="11.5703125" style="9" hidden="1" customWidth="1"/>
    <col min="10251" max="10253" width="12.7109375" style="9" customWidth="1"/>
    <col min="10254" max="10496" width="11.42578125" style="9"/>
    <col min="10497" max="10497" width="9.5703125" style="9" customWidth="1"/>
    <col min="10498" max="10498" width="50.7109375" style="9" customWidth="1"/>
    <col min="10499" max="10499" width="12.28515625" style="9" customWidth="1"/>
    <col min="10500" max="10500" width="8" style="9" customWidth="1"/>
    <col min="10501" max="10501" width="6.7109375" style="9" customWidth="1"/>
    <col min="10502" max="10503" width="12.7109375" style="9" customWidth="1"/>
    <col min="10504" max="10504" width="20.7109375" style="9" customWidth="1"/>
    <col min="10505" max="10505" width="12.7109375" style="9" customWidth="1"/>
    <col min="10506" max="10506" width="11.5703125" style="9" hidden="1" customWidth="1"/>
    <col min="10507" max="10509" width="12.7109375" style="9" customWidth="1"/>
    <col min="10510" max="10752" width="11.42578125" style="9"/>
    <col min="10753" max="10753" width="9.5703125" style="9" customWidth="1"/>
    <col min="10754" max="10754" width="50.7109375" style="9" customWidth="1"/>
    <col min="10755" max="10755" width="12.28515625" style="9" customWidth="1"/>
    <col min="10756" max="10756" width="8" style="9" customWidth="1"/>
    <col min="10757" max="10757" width="6.7109375" style="9" customWidth="1"/>
    <col min="10758" max="10759" width="12.7109375" style="9" customWidth="1"/>
    <col min="10760" max="10760" width="20.7109375" style="9" customWidth="1"/>
    <col min="10761" max="10761" width="12.7109375" style="9" customWidth="1"/>
    <col min="10762" max="10762" width="11.5703125" style="9" hidden="1" customWidth="1"/>
    <col min="10763" max="10765" width="12.7109375" style="9" customWidth="1"/>
    <col min="10766" max="11008" width="11.42578125" style="9"/>
    <col min="11009" max="11009" width="9.5703125" style="9" customWidth="1"/>
    <col min="11010" max="11010" width="50.7109375" style="9" customWidth="1"/>
    <col min="11011" max="11011" width="12.28515625" style="9" customWidth="1"/>
    <col min="11012" max="11012" width="8" style="9" customWidth="1"/>
    <col min="11013" max="11013" width="6.7109375" style="9" customWidth="1"/>
    <col min="11014" max="11015" width="12.7109375" style="9" customWidth="1"/>
    <col min="11016" max="11016" width="20.7109375" style="9" customWidth="1"/>
    <col min="11017" max="11017" width="12.7109375" style="9" customWidth="1"/>
    <col min="11018" max="11018" width="11.5703125" style="9" hidden="1" customWidth="1"/>
    <col min="11019" max="11021" width="12.7109375" style="9" customWidth="1"/>
    <col min="11022" max="11264" width="11.42578125" style="9"/>
    <col min="11265" max="11265" width="9.5703125" style="9" customWidth="1"/>
    <col min="11266" max="11266" width="50.7109375" style="9" customWidth="1"/>
    <col min="11267" max="11267" width="12.28515625" style="9" customWidth="1"/>
    <col min="11268" max="11268" width="8" style="9" customWidth="1"/>
    <col min="11269" max="11269" width="6.7109375" style="9" customWidth="1"/>
    <col min="11270" max="11271" width="12.7109375" style="9" customWidth="1"/>
    <col min="11272" max="11272" width="20.7109375" style="9" customWidth="1"/>
    <col min="11273" max="11273" width="12.7109375" style="9" customWidth="1"/>
    <col min="11274" max="11274" width="11.5703125" style="9" hidden="1" customWidth="1"/>
    <col min="11275" max="11277" width="12.7109375" style="9" customWidth="1"/>
    <col min="11278" max="11520" width="11.42578125" style="9"/>
    <col min="11521" max="11521" width="9.5703125" style="9" customWidth="1"/>
    <col min="11522" max="11522" width="50.7109375" style="9" customWidth="1"/>
    <col min="11523" max="11523" width="12.28515625" style="9" customWidth="1"/>
    <col min="11524" max="11524" width="8" style="9" customWidth="1"/>
    <col min="11525" max="11525" width="6.7109375" style="9" customWidth="1"/>
    <col min="11526" max="11527" width="12.7109375" style="9" customWidth="1"/>
    <col min="11528" max="11528" width="20.7109375" style="9" customWidth="1"/>
    <col min="11529" max="11529" width="12.7109375" style="9" customWidth="1"/>
    <col min="11530" max="11530" width="11.5703125" style="9" hidden="1" customWidth="1"/>
    <col min="11531" max="11533" width="12.7109375" style="9" customWidth="1"/>
    <col min="11534" max="11776" width="11.42578125" style="9"/>
    <col min="11777" max="11777" width="9.5703125" style="9" customWidth="1"/>
    <col min="11778" max="11778" width="50.7109375" style="9" customWidth="1"/>
    <col min="11779" max="11779" width="12.28515625" style="9" customWidth="1"/>
    <col min="11780" max="11780" width="8" style="9" customWidth="1"/>
    <col min="11781" max="11781" width="6.7109375" style="9" customWidth="1"/>
    <col min="11782" max="11783" width="12.7109375" style="9" customWidth="1"/>
    <col min="11784" max="11784" width="20.7109375" style="9" customWidth="1"/>
    <col min="11785" max="11785" width="12.7109375" style="9" customWidth="1"/>
    <col min="11786" max="11786" width="11.5703125" style="9" hidden="1" customWidth="1"/>
    <col min="11787" max="11789" width="12.7109375" style="9" customWidth="1"/>
    <col min="11790" max="12032" width="11.42578125" style="9"/>
    <col min="12033" max="12033" width="9.5703125" style="9" customWidth="1"/>
    <col min="12034" max="12034" width="50.7109375" style="9" customWidth="1"/>
    <col min="12035" max="12035" width="12.28515625" style="9" customWidth="1"/>
    <col min="12036" max="12036" width="8" style="9" customWidth="1"/>
    <col min="12037" max="12037" width="6.7109375" style="9" customWidth="1"/>
    <col min="12038" max="12039" width="12.7109375" style="9" customWidth="1"/>
    <col min="12040" max="12040" width="20.7109375" style="9" customWidth="1"/>
    <col min="12041" max="12041" width="12.7109375" style="9" customWidth="1"/>
    <col min="12042" max="12042" width="11.5703125" style="9" hidden="1" customWidth="1"/>
    <col min="12043" max="12045" width="12.7109375" style="9" customWidth="1"/>
    <col min="12046" max="12288" width="11.42578125" style="9"/>
    <col min="12289" max="12289" width="9.5703125" style="9" customWidth="1"/>
    <col min="12290" max="12290" width="50.7109375" style="9" customWidth="1"/>
    <col min="12291" max="12291" width="12.28515625" style="9" customWidth="1"/>
    <col min="12292" max="12292" width="8" style="9" customWidth="1"/>
    <col min="12293" max="12293" width="6.7109375" style="9" customWidth="1"/>
    <col min="12294" max="12295" width="12.7109375" style="9" customWidth="1"/>
    <col min="12296" max="12296" width="20.7109375" style="9" customWidth="1"/>
    <col min="12297" max="12297" width="12.7109375" style="9" customWidth="1"/>
    <col min="12298" max="12298" width="11.5703125" style="9" hidden="1" customWidth="1"/>
    <col min="12299" max="12301" width="12.7109375" style="9" customWidth="1"/>
    <col min="12302" max="12544" width="11.42578125" style="9"/>
    <col min="12545" max="12545" width="9.5703125" style="9" customWidth="1"/>
    <col min="12546" max="12546" width="50.7109375" style="9" customWidth="1"/>
    <col min="12547" max="12547" width="12.28515625" style="9" customWidth="1"/>
    <col min="12548" max="12548" width="8" style="9" customWidth="1"/>
    <col min="12549" max="12549" width="6.7109375" style="9" customWidth="1"/>
    <col min="12550" max="12551" width="12.7109375" style="9" customWidth="1"/>
    <col min="12552" max="12552" width="20.7109375" style="9" customWidth="1"/>
    <col min="12553" max="12553" width="12.7109375" style="9" customWidth="1"/>
    <col min="12554" max="12554" width="11.5703125" style="9" hidden="1" customWidth="1"/>
    <col min="12555" max="12557" width="12.7109375" style="9" customWidth="1"/>
    <col min="12558" max="12800" width="11.42578125" style="9"/>
    <col min="12801" max="12801" width="9.5703125" style="9" customWidth="1"/>
    <col min="12802" max="12802" width="50.7109375" style="9" customWidth="1"/>
    <col min="12803" max="12803" width="12.28515625" style="9" customWidth="1"/>
    <col min="12804" max="12804" width="8" style="9" customWidth="1"/>
    <col min="12805" max="12805" width="6.7109375" style="9" customWidth="1"/>
    <col min="12806" max="12807" width="12.7109375" style="9" customWidth="1"/>
    <col min="12808" max="12808" width="20.7109375" style="9" customWidth="1"/>
    <col min="12809" max="12809" width="12.7109375" style="9" customWidth="1"/>
    <col min="12810" max="12810" width="11.5703125" style="9" hidden="1" customWidth="1"/>
    <col min="12811" max="12813" width="12.7109375" style="9" customWidth="1"/>
    <col min="12814" max="13056" width="11.42578125" style="9"/>
    <col min="13057" max="13057" width="9.5703125" style="9" customWidth="1"/>
    <col min="13058" max="13058" width="50.7109375" style="9" customWidth="1"/>
    <col min="13059" max="13059" width="12.28515625" style="9" customWidth="1"/>
    <col min="13060" max="13060" width="8" style="9" customWidth="1"/>
    <col min="13061" max="13061" width="6.7109375" style="9" customWidth="1"/>
    <col min="13062" max="13063" width="12.7109375" style="9" customWidth="1"/>
    <col min="13064" max="13064" width="20.7109375" style="9" customWidth="1"/>
    <col min="13065" max="13065" width="12.7109375" style="9" customWidth="1"/>
    <col min="13066" max="13066" width="11.5703125" style="9" hidden="1" customWidth="1"/>
    <col min="13067" max="13069" width="12.7109375" style="9" customWidth="1"/>
    <col min="13070" max="13312" width="11.42578125" style="9"/>
    <col min="13313" max="13313" width="9.5703125" style="9" customWidth="1"/>
    <col min="13314" max="13314" width="50.7109375" style="9" customWidth="1"/>
    <col min="13315" max="13315" width="12.28515625" style="9" customWidth="1"/>
    <col min="13316" max="13316" width="8" style="9" customWidth="1"/>
    <col min="13317" max="13317" width="6.7109375" style="9" customWidth="1"/>
    <col min="13318" max="13319" width="12.7109375" style="9" customWidth="1"/>
    <col min="13320" max="13320" width="20.7109375" style="9" customWidth="1"/>
    <col min="13321" max="13321" width="12.7109375" style="9" customWidth="1"/>
    <col min="13322" max="13322" width="11.5703125" style="9" hidden="1" customWidth="1"/>
    <col min="13323" max="13325" width="12.7109375" style="9" customWidth="1"/>
    <col min="13326" max="13568" width="11.42578125" style="9"/>
    <col min="13569" max="13569" width="9.5703125" style="9" customWidth="1"/>
    <col min="13570" max="13570" width="50.7109375" style="9" customWidth="1"/>
    <col min="13571" max="13571" width="12.28515625" style="9" customWidth="1"/>
    <col min="13572" max="13572" width="8" style="9" customWidth="1"/>
    <col min="13573" max="13573" width="6.7109375" style="9" customWidth="1"/>
    <col min="13574" max="13575" width="12.7109375" style="9" customWidth="1"/>
    <col min="13576" max="13576" width="20.7109375" style="9" customWidth="1"/>
    <col min="13577" max="13577" width="12.7109375" style="9" customWidth="1"/>
    <col min="13578" max="13578" width="11.5703125" style="9" hidden="1" customWidth="1"/>
    <col min="13579" max="13581" width="12.7109375" style="9" customWidth="1"/>
    <col min="13582" max="13824" width="11.42578125" style="9"/>
    <col min="13825" max="13825" width="9.5703125" style="9" customWidth="1"/>
    <col min="13826" max="13826" width="50.7109375" style="9" customWidth="1"/>
    <col min="13827" max="13827" width="12.28515625" style="9" customWidth="1"/>
    <col min="13828" max="13828" width="8" style="9" customWidth="1"/>
    <col min="13829" max="13829" width="6.7109375" style="9" customWidth="1"/>
    <col min="13830" max="13831" width="12.7109375" style="9" customWidth="1"/>
    <col min="13832" max="13832" width="20.7109375" style="9" customWidth="1"/>
    <col min="13833" max="13833" width="12.7109375" style="9" customWidth="1"/>
    <col min="13834" max="13834" width="11.5703125" style="9" hidden="1" customWidth="1"/>
    <col min="13835" max="13837" width="12.7109375" style="9" customWidth="1"/>
    <col min="13838" max="14080" width="11.42578125" style="9"/>
    <col min="14081" max="14081" width="9.5703125" style="9" customWidth="1"/>
    <col min="14082" max="14082" width="50.7109375" style="9" customWidth="1"/>
    <col min="14083" max="14083" width="12.28515625" style="9" customWidth="1"/>
    <col min="14084" max="14084" width="8" style="9" customWidth="1"/>
    <col min="14085" max="14085" width="6.7109375" style="9" customWidth="1"/>
    <col min="14086" max="14087" width="12.7109375" style="9" customWidth="1"/>
    <col min="14088" max="14088" width="20.7109375" style="9" customWidth="1"/>
    <col min="14089" max="14089" width="12.7109375" style="9" customWidth="1"/>
    <col min="14090" max="14090" width="11.5703125" style="9" hidden="1" customWidth="1"/>
    <col min="14091" max="14093" width="12.7109375" style="9" customWidth="1"/>
    <col min="14094" max="14336" width="11.42578125" style="9"/>
    <col min="14337" max="14337" width="9.5703125" style="9" customWidth="1"/>
    <col min="14338" max="14338" width="50.7109375" style="9" customWidth="1"/>
    <col min="14339" max="14339" width="12.28515625" style="9" customWidth="1"/>
    <col min="14340" max="14340" width="8" style="9" customWidth="1"/>
    <col min="14341" max="14341" width="6.7109375" style="9" customWidth="1"/>
    <col min="14342" max="14343" width="12.7109375" style="9" customWidth="1"/>
    <col min="14344" max="14344" width="20.7109375" style="9" customWidth="1"/>
    <col min="14345" max="14345" width="12.7109375" style="9" customWidth="1"/>
    <col min="14346" max="14346" width="11.5703125" style="9" hidden="1" customWidth="1"/>
    <col min="14347" max="14349" width="12.7109375" style="9" customWidth="1"/>
    <col min="14350" max="14592" width="11.42578125" style="9"/>
    <col min="14593" max="14593" width="9.5703125" style="9" customWidth="1"/>
    <col min="14594" max="14594" width="50.7109375" style="9" customWidth="1"/>
    <col min="14595" max="14595" width="12.28515625" style="9" customWidth="1"/>
    <col min="14596" max="14596" width="8" style="9" customWidth="1"/>
    <col min="14597" max="14597" width="6.7109375" style="9" customWidth="1"/>
    <col min="14598" max="14599" width="12.7109375" style="9" customWidth="1"/>
    <col min="14600" max="14600" width="20.7109375" style="9" customWidth="1"/>
    <col min="14601" max="14601" width="12.7109375" style="9" customWidth="1"/>
    <col min="14602" max="14602" width="11.5703125" style="9" hidden="1" customWidth="1"/>
    <col min="14603" max="14605" width="12.7109375" style="9" customWidth="1"/>
    <col min="14606" max="14848" width="11.42578125" style="9"/>
    <col min="14849" max="14849" width="9.5703125" style="9" customWidth="1"/>
    <col min="14850" max="14850" width="50.7109375" style="9" customWidth="1"/>
    <col min="14851" max="14851" width="12.28515625" style="9" customWidth="1"/>
    <col min="14852" max="14852" width="8" style="9" customWidth="1"/>
    <col min="14853" max="14853" width="6.7109375" style="9" customWidth="1"/>
    <col min="14854" max="14855" width="12.7109375" style="9" customWidth="1"/>
    <col min="14856" max="14856" width="20.7109375" style="9" customWidth="1"/>
    <col min="14857" max="14857" width="12.7109375" style="9" customWidth="1"/>
    <col min="14858" max="14858" width="11.5703125" style="9" hidden="1" customWidth="1"/>
    <col min="14859" max="14861" width="12.7109375" style="9" customWidth="1"/>
    <col min="14862" max="15104" width="11.42578125" style="9"/>
    <col min="15105" max="15105" width="9.5703125" style="9" customWidth="1"/>
    <col min="15106" max="15106" width="50.7109375" style="9" customWidth="1"/>
    <col min="15107" max="15107" width="12.28515625" style="9" customWidth="1"/>
    <col min="15108" max="15108" width="8" style="9" customWidth="1"/>
    <col min="15109" max="15109" width="6.7109375" style="9" customWidth="1"/>
    <col min="15110" max="15111" width="12.7109375" style="9" customWidth="1"/>
    <col min="15112" max="15112" width="20.7109375" style="9" customWidth="1"/>
    <col min="15113" max="15113" width="12.7109375" style="9" customWidth="1"/>
    <col min="15114" max="15114" width="11.5703125" style="9" hidden="1" customWidth="1"/>
    <col min="15115" max="15117" width="12.7109375" style="9" customWidth="1"/>
    <col min="15118" max="15360" width="11.42578125" style="9"/>
    <col min="15361" max="15361" width="9.5703125" style="9" customWidth="1"/>
    <col min="15362" max="15362" width="50.7109375" style="9" customWidth="1"/>
    <col min="15363" max="15363" width="12.28515625" style="9" customWidth="1"/>
    <col min="15364" max="15364" width="8" style="9" customWidth="1"/>
    <col min="15365" max="15365" width="6.7109375" style="9" customWidth="1"/>
    <col min="15366" max="15367" width="12.7109375" style="9" customWidth="1"/>
    <col min="15368" max="15368" width="20.7109375" style="9" customWidth="1"/>
    <col min="15369" max="15369" width="12.7109375" style="9" customWidth="1"/>
    <col min="15370" max="15370" width="11.5703125" style="9" hidden="1" customWidth="1"/>
    <col min="15371" max="15373" width="12.7109375" style="9" customWidth="1"/>
    <col min="15374" max="15616" width="11.42578125" style="9"/>
    <col min="15617" max="15617" width="9.5703125" style="9" customWidth="1"/>
    <col min="15618" max="15618" width="50.7109375" style="9" customWidth="1"/>
    <col min="15619" max="15619" width="12.28515625" style="9" customWidth="1"/>
    <col min="15620" max="15620" width="8" style="9" customWidth="1"/>
    <col min="15621" max="15621" width="6.7109375" style="9" customWidth="1"/>
    <col min="15622" max="15623" width="12.7109375" style="9" customWidth="1"/>
    <col min="15624" max="15624" width="20.7109375" style="9" customWidth="1"/>
    <col min="15625" max="15625" width="12.7109375" style="9" customWidth="1"/>
    <col min="15626" max="15626" width="11.5703125" style="9" hidden="1" customWidth="1"/>
    <col min="15627" max="15629" width="12.7109375" style="9" customWidth="1"/>
    <col min="15630" max="15872" width="11.42578125" style="9"/>
    <col min="15873" max="15873" width="9.5703125" style="9" customWidth="1"/>
    <col min="15874" max="15874" width="50.7109375" style="9" customWidth="1"/>
    <col min="15875" max="15875" width="12.28515625" style="9" customWidth="1"/>
    <col min="15876" max="15876" width="8" style="9" customWidth="1"/>
    <col min="15877" max="15877" width="6.7109375" style="9" customWidth="1"/>
    <col min="15878" max="15879" width="12.7109375" style="9" customWidth="1"/>
    <col min="15880" max="15880" width="20.7109375" style="9" customWidth="1"/>
    <col min="15881" max="15881" width="12.7109375" style="9" customWidth="1"/>
    <col min="15882" max="15882" width="11.5703125" style="9" hidden="1" customWidth="1"/>
    <col min="15883" max="15885" width="12.7109375" style="9" customWidth="1"/>
    <col min="15886" max="16128" width="11.42578125" style="9"/>
    <col min="16129" max="16129" width="9.5703125" style="9" customWidth="1"/>
    <col min="16130" max="16130" width="50.7109375" style="9" customWidth="1"/>
    <col min="16131" max="16131" width="12.28515625" style="9" customWidth="1"/>
    <col min="16132" max="16132" width="8" style="9" customWidth="1"/>
    <col min="16133" max="16133" width="6.7109375" style="9" customWidth="1"/>
    <col min="16134" max="16135" width="12.7109375" style="9" customWidth="1"/>
    <col min="16136" max="16136" width="20.7109375" style="9" customWidth="1"/>
    <col min="16137" max="16137" width="12.7109375" style="9" customWidth="1"/>
    <col min="16138" max="16138" width="11.5703125" style="9" hidden="1" customWidth="1"/>
    <col min="16139" max="16141" width="12.7109375" style="9" customWidth="1"/>
    <col min="16142" max="16384" width="11.42578125" style="9"/>
  </cols>
  <sheetData>
    <row r="1" spans="1:19" ht="32.25" customHeight="1" x14ac:dyDescent="0.2">
      <c r="A1" s="73"/>
      <c r="B1" s="73"/>
      <c r="C1" s="74" t="s">
        <v>0</v>
      </c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9" s="10" customFormat="1" ht="32.25" customHeight="1" x14ac:dyDescent="0.2">
      <c r="A2" s="73"/>
      <c r="B2" s="73"/>
      <c r="C2" s="75" t="s">
        <v>679</v>
      </c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9" ht="32.25" customHeight="1" x14ac:dyDescent="0.2">
      <c r="A3" s="73"/>
      <c r="B3" s="73"/>
      <c r="C3" s="76" t="s">
        <v>680</v>
      </c>
      <c r="D3" s="76"/>
      <c r="E3" s="76"/>
      <c r="F3" s="76"/>
      <c r="G3" s="76"/>
      <c r="H3" s="76"/>
      <c r="I3" s="76"/>
      <c r="J3" s="11"/>
      <c r="K3" s="11" t="s">
        <v>67</v>
      </c>
      <c r="L3" s="11" t="s">
        <v>681</v>
      </c>
      <c r="M3" s="11" t="s">
        <v>3</v>
      </c>
      <c r="N3" s="12"/>
      <c r="O3" s="12"/>
      <c r="P3" s="12"/>
      <c r="Q3" s="12"/>
      <c r="R3" s="12"/>
      <c r="S3" s="12"/>
    </row>
    <row r="4" spans="1:19" ht="6.75" customHeight="1" x14ac:dyDescent="0.45">
      <c r="A4" s="13"/>
      <c r="B4" s="14"/>
      <c r="C4" s="15"/>
      <c r="D4" s="16"/>
      <c r="E4" s="17"/>
      <c r="F4" s="16"/>
      <c r="G4" s="18"/>
      <c r="H4" s="19"/>
      <c r="I4" s="20"/>
      <c r="J4" s="21"/>
      <c r="K4" s="22"/>
      <c r="L4" s="23"/>
      <c r="M4" s="24"/>
    </row>
    <row r="5" spans="1:19" s="33" customFormat="1" ht="24" customHeight="1" x14ac:dyDescent="0.2">
      <c r="A5" s="25"/>
      <c r="B5" s="26"/>
      <c r="C5" s="27"/>
      <c r="D5" s="28"/>
      <c r="E5" s="29"/>
      <c r="F5" s="28"/>
      <c r="G5" s="29"/>
      <c r="H5" s="30"/>
      <c r="I5" s="31"/>
      <c r="J5" s="29"/>
      <c r="K5" s="32"/>
      <c r="L5" s="77">
        <v>46146</v>
      </c>
      <c r="M5" s="77"/>
    </row>
    <row r="6" spans="1:19" s="33" customFormat="1" ht="18" customHeight="1" x14ac:dyDescent="0.2">
      <c r="A6" s="81" t="s">
        <v>6</v>
      </c>
      <c r="B6" s="82" t="s">
        <v>682</v>
      </c>
      <c r="C6" s="83" t="s">
        <v>631</v>
      </c>
      <c r="D6" s="34" t="s">
        <v>7</v>
      </c>
      <c r="E6" s="79" t="s">
        <v>8</v>
      </c>
      <c r="F6" s="84" t="s">
        <v>683</v>
      </c>
      <c r="G6" s="78" t="s">
        <v>684</v>
      </c>
      <c r="H6" s="35" t="s">
        <v>687</v>
      </c>
      <c r="I6" s="36" t="s">
        <v>686</v>
      </c>
      <c r="J6" s="37" t="s">
        <v>687</v>
      </c>
      <c r="K6" s="80" t="s">
        <v>688</v>
      </c>
      <c r="L6" s="80"/>
      <c r="M6" s="38" t="s">
        <v>688</v>
      </c>
    </row>
    <row r="7" spans="1:19" s="33" customFormat="1" ht="19.5" customHeight="1" x14ac:dyDescent="0.2">
      <c r="A7" s="81"/>
      <c r="B7" s="82"/>
      <c r="C7" s="82"/>
      <c r="D7" s="39" t="s">
        <v>689</v>
      </c>
      <c r="E7" s="79"/>
      <c r="F7" s="79"/>
      <c r="G7" s="79"/>
      <c r="H7" s="40" t="s">
        <v>695</v>
      </c>
      <c r="I7" s="41" t="s">
        <v>691</v>
      </c>
      <c r="J7" s="42" t="s">
        <v>692</v>
      </c>
      <c r="K7" s="43" t="s">
        <v>693</v>
      </c>
      <c r="L7" s="44" t="s">
        <v>694</v>
      </c>
      <c r="M7" s="45" t="s">
        <v>692</v>
      </c>
    </row>
    <row r="8" spans="1:19" s="55" customFormat="1" ht="6.75" customHeight="1" x14ac:dyDescent="0.2">
      <c r="A8" s="46"/>
      <c r="B8" s="47"/>
      <c r="C8" s="48"/>
      <c r="D8" s="49"/>
      <c r="E8" s="50"/>
      <c r="F8" s="49"/>
      <c r="G8" s="51"/>
      <c r="H8" s="52"/>
      <c r="I8" s="53"/>
      <c r="J8" s="50"/>
      <c r="K8" s="54"/>
      <c r="L8" s="54"/>
      <c r="M8" s="50"/>
      <c r="N8" s="33"/>
      <c r="O8" s="33"/>
    </row>
    <row r="9" spans="1:19" s="64" customFormat="1" ht="16.5" hidden="1" customHeight="1" x14ac:dyDescent="0.2">
      <c r="A9" s="56" t="s">
        <v>326</v>
      </c>
      <c r="B9" s="56" t="s">
        <v>327</v>
      </c>
      <c r="C9" s="57"/>
      <c r="D9" s="58">
        <v>11.18</v>
      </c>
      <c r="E9" s="58" t="s">
        <v>11</v>
      </c>
      <c r="F9" s="59" t="str">
        <f t="shared" ref="F9:F71" si="0">+$M$3</f>
        <v>0011</v>
      </c>
      <c r="G9" s="60"/>
      <c r="H9" s="61">
        <v>0</v>
      </c>
      <c r="I9" s="61">
        <v>8392</v>
      </c>
      <c r="J9" s="62">
        <f t="shared" ref="J9:J71" si="1">D9*H9</f>
        <v>0</v>
      </c>
      <c r="K9" s="62">
        <f t="shared" ref="K9:K71" si="2">H9-I9</f>
        <v>-8392</v>
      </c>
      <c r="L9" s="62">
        <f t="shared" ref="L9:L71" si="3">H9-I9</f>
        <v>-8392</v>
      </c>
      <c r="M9" s="63">
        <f t="shared" ref="M9:M71" si="4">L9*D9</f>
        <v>-93822.56</v>
      </c>
    </row>
    <row r="10" spans="1:19" s="64" customFormat="1" ht="16.5" hidden="1" customHeight="1" x14ac:dyDescent="0.2">
      <c r="A10" s="56" t="s">
        <v>373</v>
      </c>
      <c r="B10" s="56" t="s">
        <v>374</v>
      </c>
      <c r="C10" s="57"/>
      <c r="D10" s="58">
        <v>10.220000000000001</v>
      </c>
      <c r="E10" s="58" t="s">
        <v>11</v>
      </c>
      <c r="F10" s="59" t="str">
        <f t="shared" si="0"/>
        <v>0011</v>
      </c>
      <c r="G10" s="60"/>
      <c r="H10" s="61">
        <v>3294</v>
      </c>
      <c r="I10" s="61">
        <v>10445</v>
      </c>
      <c r="J10" s="62">
        <f t="shared" si="1"/>
        <v>33664.68</v>
      </c>
      <c r="K10" s="62">
        <f t="shared" si="2"/>
        <v>-7151</v>
      </c>
      <c r="L10" s="62">
        <f t="shared" si="3"/>
        <v>-7151</v>
      </c>
      <c r="M10" s="63">
        <f t="shared" si="4"/>
        <v>-73083.22</v>
      </c>
    </row>
    <row r="11" spans="1:19" s="64" customFormat="1" ht="16.5" hidden="1" customHeight="1" x14ac:dyDescent="0.2">
      <c r="A11" s="56" t="s">
        <v>23</v>
      </c>
      <c r="B11" s="56" t="s">
        <v>24</v>
      </c>
      <c r="C11" s="57" t="s">
        <v>503</v>
      </c>
      <c r="D11" s="58">
        <v>7.97</v>
      </c>
      <c r="E11" s="58" t="s">
        <v>11</v>
      </c>
      <c r="F11" s="59" t="str">
        <f t="shared" si="0"/>
        <v>0011</v>
      </c>
      <c r="G11" s="60"/>
      <c r="H11" s="61">
        <v>33344</v>
      </c>
      <c r="I11" s="61">
        <v>40464</v>
      </c>
      <c r="J11" s="62">
        <f t="shared" si="1"/>
        <v>265751.67999999999</v>
      </c>
      <c r="K11" s="62">
        <f t="shared" si="2"/>
        <v>-7120</v>
      </c>
      <c r="L11" s="62">
        <f t="shared" si="3"/>
        <v>-7120</v>
      </c>
      <c r="M11" s="63">
        <f t="shared" si="4"/>
        <v>-56746.400000000001</v>
      </c>
    </row>
    <row r="12" spans="1:19" s="64" customFormat="1" ht="16.5" hidden="1" customHeight="1" x14ac:dyDescent="0.2">
      <c r="A12" s="65" t="s">
        <v>326</v>
      </c>
      <c r="B12" s="65" t="s">
        <v>327</v>
      </c>
      <c r="C12" s="66" t="s">
        <v>675</v>
      </c>
      <c r="D12" s="67">
        <v>11.18</v>
      </c>
      <c r="E12" s="67" t="s">
        <v>11</v>
      </c>
      <c r="F12" s="68" t="str">
        <f t="shared" si="0"/>
        <v>0011</v>
      </c>
      <c r="G12" s="69"/>
      <c r="H12" s="70">
        <v>4482</v>
      </c>
      <c r="I12" s="70">
        <v>0</v>
      </c>
      <c r="J12" s="62">
        <f t="shared" si="1"/>
        <v>50108.76</v>
      </c>
      <c r="K12" s="62">
        <f t="shared" si="2"/>
        <v>4482</v>
      </c>
      <c r="L12" s="62">
        <f t="shared" si="3"/>
        <v>4482</v>
      </c>
      <c r="M12" s="63">
        <f t="shared" si="4"/>
        <v>50108.76</v>
      </c>
    </row>
    <row r="13" spans="1:19" s="64" customFormat="1" ht="16.5" hidden="1" customHeight="1" x14ac:dyDescent="0.2">
      <c r="A13" s="65" t="s">
        <v>23</v>
      </c>
      <c r="B13" s="65" t="s">
        <v>24</v>
      </c>
      <c r="C13" s="66" t="s">
        <v>644</v>
      </c>
      <c r="D13" s="67">
        <v>7.97</v>
      </c>
      <c r="E13" s="67" t="s">
        <v>11</v>
      </c>
      <c r="F13" s="68" t="str">
        <f t="shared" si="0"/>
        <v>0011</v>
      </c>
      <c r="G13" s="69"/>
      <c r="H13" s="70">
        <v>5018</v>
      </c>
      <c r="I13" s="70">
        <v>0</v>
      </c>
      <c r="J13" s="62">
        <f t="shared" si="1"/>
        <v>39993.46</v>
      </c>
      <c r="K13" s="62">
        <f t="shared" si="2"/>
        <v>5018</v>
      </c>
      <c r="L13" s="62">
        <f t="shared" si="3"/>
        <v>5018</v>
      </c>
      <c r="M13" s="63">
        <f t="shared" si="4"/>
        <v>39993.46</v>
      </c>
    </row>
    <row r="14" spans="1:19" s="64" customFormat="1" ht="16.5" hidden="1" customHeight="1" x14ac:dyDescent="0.2">
      <c r="A14" s="56" t="s">
        <v>331</v>
      </c>
      <c r="B14" s="56" t="s">
        <v>332</v>
      </c>
      <c r="C14" s="57" t="s">
        <v>16</v>
      </c>
      <c r="D14" s="58">
        <v>101.93</v>
      </c>
      <c r="E14" s="58" t="s">
        <v>11</v>
      </c>
      <c r="F14" s="59" t="str">
        <f t="shared" si="0"/>
        <v>0011</v>
      </c>
      <c r="G14" s="60"/>
      <c r="H14" s="61">
        <v>34</v>
      </c>
      <c r="I14" s="61">
        <v>422</v>
      </c>
      <c r="J14" s="62">
        <f t="shared" si="1"/>
        <v>3465.6200000000003</v>
      </c>
      <c r="K14" s="62">
        <f t="shared" si="2"/>
        <v>-388</v>
      </c>
      <c r="L14" s="62">
        <f t="shared" si="3"/>
        <v>-388</v>
      </c>
      <c r="M14" s="63">
        <f t="shared" si="4"/>
        <v>-39548.840000000004</v>
      </c>
    </row>
    <row r="15" spans="1:19" s="64" customFormat="1" ht="16.5" hidden="1" customHeight="1" x14ac:dyDescent="0.2">
      <c r="A15" s="56" t="s">
        <v>349</v>
      </c>
      <c r="B15" s="56" t="s">
        <v>350</v>
      </c>
      <c r="C15" s="57"/>
      <c r="D15" s="58">
        <v>64.34</v>
      </c>
      <c r="E15" s="58" t="s">
        <v>11</v>
      </c>
      <c r="F15" s="59" t="str">
        <f t="shared" si="0"/>
        <v>0011</v>
      </c>
      <c r="G15" s="60"/>
      <c r="H15" s="61">
        <v>949</v>
      </c>
      <c r="I15" s="61">
        <v>479</v>
      </c>
      <c r="J15" s="62">
        <f t="shared" si="1"/>
        <v>61058.66</v>
      </c>
      <c r="K15" s="62">
        <f t="shared" si="2"/>
        <v>470</v>
      </c>
      <c r="L15" s="62">
        <f t="shared" si="3"/>
        <v>470</v>
      </c>
      <c r="M15" s="63">
        <f t="shared" si="4"/>
        <v>30239.800000000003</v>
      </c>
    </row>
    <row r="16" spans="1:19" s="64" customFormat="1" ht="16.5" hidden="1" customHeight="1" x14ac:dyDescent="0.2">
      <c r="A16" s="56" t="s">
        <v>142</v>
      </c>
      <c r="B16" s="56" t="s">
        <v>143</v>
      </c>
      <c r="C16" s="57"/>
      <c r="D16" s="58">
        <v>171.01</v>
      </c>
      <c r="E16" s="58" t="s">
        <v>11</v>
      </c>
      <c r="F16" s="59" t="str">
        <f t="shared" si="0"/>
        <v>0011</v>
      </c>
      <c r="G16" s="60"/>
      <c r="H16" s="61">
        <v>0</v>
      </c>
      <c r="I16" s="61">
        <v>165</v>
      </c>
      <c r="J16" s="62">
        <f t="shared" si="1"/>
        <v>0</v>
      </c>
      <c r="K16" s="62">
        <f t="shared" si="2"/>
        <v>-165</v>
      </c>
      <c r="L16" s="62">
        <f t="shared" si="3"/>
        <v>-165</v>
      </c>
      <c r="M16" s="63">
        <f t="shared" si="4"/>
        <v>-28216.649999999998</v>
      </c>
    </row>
    <row r="17" spans="1:13" s="64" customFormat="1" ht="16.5" hidden="1" customHeight="1" x14ac:dyDescent="0.2">
      <c r="A17" s="65" t="s">
        <v>142</v>
      </c>
      <c r="B17" s="65" t="s">
        <v>143</v>
      </c>
      <c r="C17" s="66" t="s">
        <v>16</v>
      </c>
      <c r="D17" s="67">
        <v>171.01</v>
      </c>
      <c r="E17" s="67" t="s">
        <v>11</v>
      </c>
      <c r="F17" s="68" t="str">
        <f t="shared" si="0"/>
        <v>0011</v>
      </c>
      <c r="G17" s="69"/>
      <c r="H17" s="70">
        <v>165</v>
      </c>
      <c r="I17" s="70">
        <v>0</v>
      </c>
      <c r="J17" s="62">
        <f t="shared" si="1"/>
        <v>28216.649999999998</v>
      </c>
      <c r="K17" s="62">
        <f t="shared" si="2"/>
        <v>165</v>
      </c>
      <c r="L17" s="62">
        <f t="shared" si="3"/>
        <v>165</v>
      </c>
      <c r="M17" s="63">
        <f t="shared" si="4"/>
        <v>28216.649999999998</v>
      </c>
    </row>
    <row r="18" spans="1:13" s="64" customFormat="1" ht="16.5" hidden="1" customHeight="1" x14ac:dyDescent="0.2">
      <c r="A18" s="56" t="s">
        <v>167</v>
      </c>
      <c r="B18" s="56" t="s">
        <v>168</v>
      </c>
      <c r="C18" s="57"/>
      <c r="D18" s="58">
        <v>115.83</v>
      </c>
      <c r="E18" s="58" t="s">
        <v>11</v>
      </c>
      <c r="F18" s="59" t="str">
        <f t="shared" si="0"/>
        <v>0011</v>
      </c>
      <c r="G18" s="60"/>
      <c r="H18" s="61">
        <v>0</v>
      </c>
      <c r="I18" s="61">
        <v>237</v>
      </c>
      <c r="J18" s="62">
        <f t="shared" si="1"/>
        <v>0</v>
      </c>
      <c r="K18" s="62">
        <f t="shared" si="2"/>
        <v>-237</v>
      </c>
      <c r="L18" s="62">
        <f t="shared" si="3"/>
        <v>-237</v>
      </c>
      <c r="M18" s="63">
        <f t="shared" si="4"/>
        <v>-27451.71</v>
      </c>
    </row>
    <row r="19" spans="1:13" s="64" customFormat="1" ht="16.5" hidden="1" customHeight="1" x14ac:dyDescent="0.2">
      <c r="A19" s="65" t="s">
        <v>167</v>
      </c>
      <c r="B19" s="65" t="s">
        <v>168</v>
      </c>
      <c r="C19" s="66" t="s">
        <v>16</v>
      </c>
      <c r="D19" s="67">
        <v>115.83</v>
      </c>
      <c r="E19" s="67" t="s">
        <v>11</v>
      </c>
      <c r="F19" s="68" t="str">
        <f t="shared" si="0"/>
        <v>0011</v>
      </c>
      <c r="G19" s="69"/>
      <c r="H19" s="70">
        <v>237</v>
      </c>
      <c r="I19" s="70">
        <v>0</v>
      </c>
      <c r="J19" s="62">
        <f t="shared" si="1"/>
        <v>27451.71</v>
      </c>
      <c r="K19" s="62">
        <f t="shared" si="2"/>
        <v>237</v>
      </c>
      <c r="L19" s="62">
        <f t="shared" si="3"/>
        <v>237</v>
      </c>
      <c r="M19" s="63">
        <f t="shared" si="4"/>
        <v>27451.71</v>
      </c>
    </row>
    <row r="20" spans="1:13" s="64" customFormat="1" ht="16.5" hidden="1" customHeight="1" x14ac:dyDescent="0.2">
      <c r="A20" s="56" t="s">
        <v>181</v>
      </c>
      <c r="B20" s="56" t="s">
        <v>182</v>
      </c>
      <c r="C20" s="57" t="s">
        <v>16</v>
      </c>
      <c r="D20" s="58">
        <v>100.85</v>
      </c>
      <c r="E20" s="58" t="s">
        <v>11</v>
      </c>
      <c r="F20" s="59" t="str">
        <f t="shared" si="0"/>
        <v>0011</v>
      </c>
      <c r="G20" s="60"/>
      <c r="H20" s="61">
        <v>5481</v>
      </c>
      <c r="I20" s="61">
        <v>5735</v>
      </c>
      <c r="J20" s="62">
        <f t="shared" si="1"/>
        <v>552758.85</v>
      </c>
      <c r="K20" s="62">
        <f t="shared" si="2"/>
        <v>-254</v>
      </c>
      <c r="L20" s="62">
        <f t="shared" si="3"/>
        <v>-254</v>
      </c>
      <c r="M20" s="63">
        <f t="shared" si="4"/>
        <v>-25615.899999999998</v>
      </c>
    </row>
    <row r="21" spans="1:13" s="64" customFormat="1" ht="16.5" hidden="1" customHeight="1" x14ac:dyDescent="0.2">
      <c r="A21" s="56" t="s">
        <v>25</v>
      </c>
      <c r="B21" s="56" t="s">
        <v>26</v>
      </c>
      <c r="C21" s="57" t="s">
        <v>507</v>
      </c>
      <c r="D21" s="58">
        <v>6.78</v>
      </c>
      <c r="E21" s="58" t="s">
        <v>11</v>
      </c>
      <c r="F21" s="59" t="str">
        <f t="shared" si="0"/>
        <v>0011</v>
      </c>
      <c r="G21" s="60"/>
      <c r="H21" s="61">
        <v>24835</v>
      </c>
      <c r="I21" s="61">
        <v>21496</v>
      </c>
      <c r="J21" s="62">
        <f t="shared" si="1"/>
        <v>168381.30000000002</v>
      </c>
      <c r="K21" s="62">
        <f t="shared" si="2"/>
        <v>3339</v>
      </c>
      <c r="L21" s="62">
        <f t="shared" si="3"/>
        <v>3339</v>
      </c>
      <c r="M21" s="63">
        <f t="shared" si="4"/>
        <v>22638.420000000002</v>
      </c>
    </row>
    <row r="22" spans="1:13" s="64" customFormat="1" ht="16.5" hidden="1" customHeight="1" x14ac:dyDescent="0.2">
      <c r="A22" s="56" t="s">
        <v>223</v>
      </c>
      <c r="B22" s="56" t="s">
        <v>224</v>
      </c>
      <c r="C22" s="57" t="s">
        <v>485</v>
      </c>
      <c r="D22" s="58">
        <v>40.14</v>
      </c>
      <c r="E22" s="58" t="s">
        <v>11</v>
      </c>
      <c r="F22" s="59" t="str">
        <f t="shared" si="0"/>
        <v>0011</v>
      </c>
      <c r="G22" s="60"/>
      <c r="H22" s="61">
        <v>0</v>
      </c>
      <c r="I22" s="61">
        <v>540</v>
      </c>
      <c r="J22" s="62">
        <f t="shared" si="1"/>
        <v>0</v>
      </c>
      <c r="K22" s="62">
        <f t="shared" si="2"/>
        <v>-540</v>
      </c>
      <c r="L22" s="62">
        <f t="shared" si="3"/>
        <v>-540</v>
      </c>
      <c r="M22" s="63">
        <f t="shared" si="4"/>
        <v>-21675.599999999999</v>
      </c>
    </row>
    <row r="23" spans="1:13" s="64" customFormat="1" ht="16.5" hidden="1" customHeight="1" x14ac:dyDescent="0.2">
      <c r="A23" s="65" t="s">
        <v>223</v>
      </c>
      <c r="B23" s="65" t="s">
        <v>224</v>
      </c>
      <c r="C23" s="66" t="s">
        <v>672</v>
      </c>
      <c r="D23" s="67">
        <v>40.14</v>
      </c>
      <c r="E23" s="67" t="s">
        <v>11</v>
      </c>
      <c r="F23" s="68" t="str">
        <f t="shared" si="0"/>
        <v>0011</v>
      </c>
      <c r="G23" s="69"/>
      <c r="H23" s="70">
        <v>540</v>
      </c>
      <c r="I23" s="70">
        <v>0</v>
      </c>
      <c r="J23" s="62">
        <f t="shared" si="1"/>
        <v>21675.599999999999</v>
      </c>
      <c r="K23" s="62">
        <f t="shared" si="2"/>
        <v>540</v>
      </c>
      <c r="L23" s="62">
        <f t="shared" si="3"/>
        <v>540</v>
      </c>
      <c r="M23" s="63">
        <f t="shared" si="4"/>
        <v>21675.599999999999</v>
      </c>
    </row>
    <row r="24" spans="1:13" s="64" customFormat="1" ht="16.5" hidden="1" customHeight="1" x14ac:dyDescent="0.2">
      <c r="A24" s="56" t="s">
        <v>201</v>
      </c>
      <c r="B24" s="56" t="s">
        <v>202</v>
      </c>
      <c r="C24" s="57" t="s">
        <v>203</v>
      </c>
      <c r="D24" s="58">
        <v>82.26</v>
      </c>
      <c r="E24" s="58" t="s">
        <v>11</v>
      </c>
      <c r="F24" s="59" t="str">
        <f t="shared" si="0"/>
        <v>0011</v>
      </c>
      <c r="G24" s="60"/>
      <c r="H24" s="61">
        <v>96</v>
      </c>
      <c r="I24" s="61">
        <v>350</v>
      </c>
      <c r="J24" s="62">
        <f t="shared" si="1"/>
        <v>7896.9600000000009</v>
      </c>
      <c r="K24" s="62">
        <f t="shared" si="2"/>
        <v>-254</v>
      </c>
      <c r="L24" s="62">
        <f t="shared" si="3"/>
        <v>-254</v>
      </c>
      <c r="M24" s="63">
        <f t="shared" si="4"/>
        <v>-20894.04</v>
      </c>
    </row>
    <row r="25" spans="1:13" s="64" customFormat="1" ht="16.5" customHeight="1" x14ac:dyDescent="0.2">
      <c r="A25" s="56" t="s">
        <v>119</v>
      </c>
      <c r="B25" s="56" t="s">
        <v>120</v>
      </c>
      <c r="C25" s="57" t="s">
        <v>121</v>
      </c>
      <c r="D25" s="58">
        <v>3.07</v>
      </c>
      <c r="E25" s="58" t="s">
        <v>11</v>
      </c>
      <c r="F25" s="59" t="str">
        <f t="shared" si="0"/>
        <v>0011</v>
      </c>
      <c r="G25" s="60"/>
      <c r="H25" s="61">
        <v>0</v>
      </c>
      <c r="I25" s="61">
        <v>6801</v>
      </c>
      <c r="J25" s="62">
        <f t="shared" si="1"/>
        <v>0</v>
      </c>
      <c r="K25" s="62">
        <f t="shared" si="2"/>
        <v>-6801</v>
      </c>
      <c r="L25" s="62">
        <f t="shared" si="3"/>
        <v>-6801</v>
      </c>
      <c r="M25" s="63">
        <f t="shared" si="4"/>
        <v>-20879.07</v>
      </c>
    </row>
    <row r="26" spans="1:13" s="64" customFormat="1" ht="16.5" hidden="1" customHeight="1" x14ac:dyDescent="0.2">
      <c r="A26" s="56" t="s">
        <v>23</v>
      </c>
      <c r="B26" s="56" t="s">
        <v>24</v>
      </c>
      <c r="C26" s="57" t="s">
        <v>502</v>
      </c>
      <c r="D26" s="58">
        <v>7.97</v>
      </c>
      <c r="E26" s="58" t="s">
        <v>11</v>
      </c>
      <c r="F26" s="59" t="str">
        <f t="shared" si="0"/>
        <v>0011</v>
      </c>
      <c r="G26" s="60"/>
      <c r="H26" s="61">
        <v>10080</v>
      </c>
      <c r="I26" s="61">
        <v>7539</v>
      </c>
      <c r="J26" s="62">
        <f t="shared" si="1"/>
        <v>80337.599999999991</v>
      </c>
      <c r="K26" s="62">
        <f t="shared" si="2"/>
        <v>2541</v>
      </c>
      <c r="L26" s="62">
        <f t="shared" si="3"/>
        <v>2541</v>
      </c>
      <c r="M26" s="63">
        <f t="shared" si="4"/>
        <v>20251.77</v>
      </c>
    </row>
    <row r="27" spans="1:13" s="64" customFormat="1" ht="16.5" hidden="1" customHeight="1" x14ac:dyDescent="0.2">
      <c r="A27" s="56" t="s">
        <v>155</v>
      </c>
      <c r="B27" s="56" t="s">
        <v>156</v>
      </c>
      <c r="C27" s="57"/>
      <c r="D27" s="58">
        <v>177.93</v>
      </c>
      <c r="E27" s="58" t="s">
        <v>11</v>
      </c>
      <c r="F27" s="59" t="str">
        <f t="shared" si="0"/>
        <v>0011</v>
      </c>
      <c r="G27" s="60"/>
      <c r="H27" s="61">
        <v>0</v>
      </c>
      <c r="I27" s="61">
        <v>108</v>
      </c>
      <c r="J27" s="62">
        <f t="shared" si="1"/>
        <v>0</v>
      </c>
      <c r="K27" s="62">
        <f t="shared" si="2"/>
        <v>-108</v>
      </c>
      <c r="L27" s="62">
        <f t="shared" si="3"/>
        <v>-108</v>
      </c>
      <c r="M27" s="63">
        <f t="shared" si="4"/>
        <v>-19216.440000000002</v>
      </c>
    </row>
    <row r="28" spans="1:13" s="64" customFormat="1" ht="16.5" hidden="1" customHeight="1" x14ac:dyDescent="0.2">
      <c r="A28" s="65" t="s">
        <v>207</v>
      </c>
      <c r="B28" s="65" t="s">
        <v>208</v>
      </c>
      <c r="C28" s="66" t="s">
        <v>667</v>
      </c>
      <c r="D28" s="67">
        <v>29.67</v>
      </c>
      <c r="E28" s="67" t="s">
        <v>11</v>
      </c>
      <c r="F28" s="68" t="str">
        <f t="shared" si="0"/>
        <v>0011</v>
      </c>
      <c r="G28" s="69"/>
      <c r="H28" s="70">
        <v>642</v>
      </c>
      <c r="I28" s="70">
        <v>0</v>
      </c>
      <c r="J28" s="62">
        <f t="shared" si="1"/>
        <v>19048.14</v>
      </c>
      <c r="K28" s="62">
        <f t="shared" si="2"/>
        <v>642</v>
      </c>
      <c r="L28" s="62">
        <f t="shared" si="3"/>
        <v>642</v>
      </c>
      <c r="M28" s="63">
        <f t="shared" si="4"/>
        <v>19048.14</v>
      </c>
    </row>
    <row r="29" spans="1:13" s="64" customFormat="1" ht="16.5" hidden="1" customHeight="1" x14ac:dyDescent="0.2">
      <c r="A29" s="56" t="s">
        <v>140</v>
      </c>
      <c r="B29" s="56" t="s">
        <v>141</v>
      </c>
      <c r="C29" s="57"/>
      <c r="D29" s="58">
        <v>174.72</v>
      </c>
      <c r="E29" s="58" t="s">
        <v>11</v>
      </c>
      <c r="F29" s="59" t="str">
        <f t="shared" si="0"/>
        <v>0011</v>
      </c>
      <c r="G29" s="60"/>
      <c r="H29" s="61">
        <v>0</v>
      </c>
      <c r="I29" s="61">
        <v>109</v>
      </c>
      <c r="J29" s="62">
        <f t="shared" si="1"/>
        <v>0</v>
      </c>
      <c r="K29" s="62">
        <f t="shared" si="2"/>
        <v>-109</v>
      </c>
      <c r="L29" s="62">
        <f t="shared" si="3"/>
        <v>-109</v>
      </c>
      <c r="M29" s="63">
        <f t="shared" si="4"/>
        <v>-19044.48</v>
      </c>
    </row>
    <row r="30" spans="1:13" s="64" customFormat="1" ht="16.5" hidden="1" customHeight="1" x14ac:dyDescent="0.2">
      <c r="A30" s="65" t="s">
        <v>140</v>
      </c>
      <c r="B30" s="65" t="s">
        <v>141</v>
      </c>
      <c r="C30" s="66" t="s">
        <v>16</v>
      </c>
      <c r="D30" s="67">
        <v>174.72</v>
      </c>
      <c r="E30" s="67" t="s">
        <v>11</v>
      </c>
      <c r="F30" s="68" t="str">
        <f t="shared" si="0"/>
        <v>0011</v>
      </c>
      <c r="G30" s="69"/>
      <c r="H30" s="70">
        <v>109</v>
      </c>
      <c r="I30" s="70">
        <v>0</v>
      </c>
      <c r="J30" s="62">
        <f t="shared" si="1"/>
        <v>19044.48</v>
      </c>
      <c r="K30" s="62">
        <f t="shared" si="2"/>
        <v>109</v>
      </c>
      <c r="L30" s="62">
        <f t="shared" si="3"/>
        <v>109</v>
      </c>
      <c r="M30" s="63">
        <f t="shared" si="4"/>
        <v>19044.48</v>
      </c>
    </row>
    <row r="31" spans="1:13" s="64" customFormat="1" ht="16.5" hidden="1" customHeight="1" x14ac:dyDescent="0.2">
      <c r="A31" s="56" t="s">
        <v>239</v>
      </c>
      <c r="B31" s="56" t="s">
        <v>240</v>
      </c>
      <c r="C31" s="57" t="s">
        <v>244</v>
      </c>
      <c r="D31" s="58">
        <v>26.36</v>
      </c>
      <c r="E31" s="58" t="s">
        <v>11</v>
      </c>
      <c r="F31" s="59" t="str">
        <f t="shared" si="0"/>
        <v>0011</v>
      </c>
      <c r="G31" s="60"/>
      <c r="H31" s="61">
        <f>5200+320</f>
        <v>5520</v>
      </c>
      <c r="I31" s="61">
        <v>4481</v>
      </c>
      <c r="J31" s="62">
        <f t="shared" si="1"/>
        <v>145507.19999999998</v>
      </c>
      <c r="K31" s="62">
        <f t="shared" si="2"/>
        <v>1039</v>
      </c>
      <c r="L31" s="62">
        <f t="shared" si="3"/>
        <v>1039</v>
      </c>
      <c r="M31" s="63">
        <f t="shared" si="4"/>
        <v>27388.04</v>
      </c>
    </row>
    <row r="32" spans="1:13" s="64" customFormat="1" ht="16.5" hidden="1" customHeight="1" x14ac:dyDescent="0.2">
      <c r="A32" s="65" t="s">
        <v>326</v>
      </c>
      <c r="B32" s="65" t="s">
        <v>327</v>
      </c>
      <c r="C32" s="66" t="s">
        <v>677</v>
      </c>
      <c r="D32" s="67">
        <v>11.18</v>
      </c>
      <c r="E32" s="67" t="s">
        <v>11</v>
      </c>
      <c r="F32" s="68" t="str">
        <f t="shared" si="0"/>
        <v>0011</v>
      </c>
      <c r="G32" s="69"/>
      <c r="H32" s="70">
        <v>1620</v>
      </c>
      <c r="I32" s="70">
        <v>0</v>
      </c>
      <c r="J32" s="62">
        <f t="shared" si="1"/>
        <v>18111.599999999999</v>
      </c>
      <c r="K32" s="62">
        <f t="shared" si="2"/>
        <v>1620</v>
      </c>
      <c r="L32" s="62">
        <f t="shared" si="3"/>
        <v>1620</v>
      </c>
      <c r="M32" s="63">
        <f t="shared" si="4"/>
        <v>18111.599999999999</v>
      </c>
    </row>
    <row r="33" spans="1:13" s="64" customFormat="1" ht="16.5" hidden="1" customHeight="1" x14ac:dyDescent="0.2">
      <c r="A33" s="56" t="s">
        <v>49</v>
      </c>
      <c r="B33" s="56" t="s">
        <v>50</v>
      </c>
      <c r="C33" s="57" t="s">
        <v>555</v>
      </c>
      <c r="D33" s="58">
        <v>21.81</v>
      </c>
      <c r="E33" s="58" t="s">
        <v>11</v>
      </c>
      <c r="F33" s="59" t="str">
        <f t="shared" si="0"/>
        <v>0011</v>
      </c>
      <c r="G33" s="60"/>
      <c r="H33" s="61">
        <v>240</v>
      </c>
      <c r="I33" s="61">
        <v>1070</v>
      </c>
      <c r="J33" s="62">
        <f t="shared" si="1"/>
        <v>5234.3999999999996</v>
      </c>
      <c r="K33" s="62">
        <f t="shared" si="2"/>
        <v>-830</v>
      </c>
      <c r="L33" s="62">
        <f t="shared" si="3"/>
        <v>-830</v>
      </c>
      <c r="M33" s="63">
        <f t="shared" si="4"/>
        <v>-18102.3</v>
      </c>
    </row>
    <row r="34" spans="1:13" s="64" customFormat="1" ht="16.5" hidden="1" customHeight="1" x14ac:dyDescent="0.2">
      <c r="A34" s="65" t="s">
        <v>326</v>
      </c>
      <c r="B34" s="65" t="s">
        <v>327</v>
      </c>
      <c r="C34" s="66" t="s">
        <v>678</v>
      </c>
      <c r="D34" s="67">
        <v>11.18</v>
      </c>
      <c r="E34" s="67" t="s">
        <v>11</v>
      </c>
      <c r="F34" s="68" t="str">
        <f t="shared" si="0"/>
        <v>0011</v>
      </c>
      <c r="G34" s="69"/>
      <c r="H34" s="70">
        <v>1608</v>
      </c>
      <c r="I34" s="70">
        <v>0</v>
      </c>
      <c r="J34" s="62">
        <f t="shared" si="1"/>
        <v>17977.439999999999</v>
      </c>
      <c r="K34" s="62">
        <f t="shared" si="2"/>
        <v>1608</v>
      </c>
      <c r="L34" s="62">
        <f t="shared" si="3"/>
        <v>1608</v>
      </c>
      <c r="M34" s="63">
        <f t="shared" si="4"/>
        <v>17977.439999999999</v>
      </c>
    </row>
    <row r="35" spans="1:13" s="64" customFormat="1" ht="16.5" hidden="1" customHeight="1" x14ac:dyDescent="0.2">
      <c r="A35" s="56" t="s">
        <v>364</v>
      </c>
      <c r="B35" s="56" t="s">
        <v>365</v>
      </c>
      <c r="C35" s="57"/>
      <c r="D35" s="58">
        <v>11.59</v>
      </c>
      <c r="E35" s="58" t="s">
        <v>11</v>
      </c>
      <c r="F35" s="59" t="str">
        <f t="shared" si="0"/>
        <v>0011</v>
      </c>
      <c r="G35" s="60"/>
      <c r="H35" s="61">
        <v>160</v>
      </c>
      <c r="I35" s="61">
        <v>1640</v>
      </c>
      <c r="J35" s="62">
        <f t="shared" si="1"/>
        <v>1854.4</v>
      </c>
      <c r="K35" s="62">
        <f t="shared" si="2"/>
        <v>-1480</v>
      </c>
      <c r="L35" s="62">
        <f t="shared" si="3"/>
        <v>-1480</v>
      </c>
      <c r="M35" s="63">
        <f t="shared" si="4"/>
        <v>-17153.2</v>
      </c>
    </row>
    <row r="36" spans="1:13" s="64" customFormat="1" ht="16.5" hidden="1" customHeight="1" x14ac:dyDescent="0.2">
      <c r="A36" s="56" t="s">
        <v>165</v>
      </c>
      <c r="B36" s="56" t="s">
        <v>166</v>
      </c>
      <c r="C36" s="57"/>
      <c r="D36" s="58">
        <v>112.02</v>
      </c>
      <c r="E36" s="58" t="s">
        <v>11</v>
      </c>
      <c r="F36" s="59" t="str">
        <f t="shared" si="0"/>
        <v>0011</v>
      </c>
      <c r="G36" s="60"/>
      <c r="H36" s="61">
        <v>0</v>
      </c>
      <c r="I36" s="61">
        <v>151</v>
      </c>
      <c r="J36" s="62">
        <f t="shared" si="1"/>
        <v>0</v>
      </c>
      <c r="K36" s="62">
        <f t="shared" si="2"/>
        <v>-151</v>
      </c>
      <c r="L36" s="62">
        <f t="shared" si="3"/>
        <v>-151</v>
      </c>
      <c r="M36" s="63">
        <f t="shared" si="4"/>
        <v>-16915.02</v>
      </c>
    </row>
    <row r="37" spans="1:13" s="64" customFormat="1" ht="16.5" hidden="1" customHeight="1" x14ac:dyDescent="0.2">
      <c r="A37" s="65" t="s">
        <v>165</v>
      </c>
      <c r="B37" s="65" t="s">
        <v>166</v>
      </c>
      <c r="C37" s="66" t="s">
        <v>16</v>
      </c>
      <c r="D37" s="67">
        <v>112.02</v>
      </c>
      <c r="E37" s="67" t="s">
        <v>11</v>
      </c>
      <c r="F37" s="68" t="str">
        <f t="shared" si="0"/>
        <v>0011</v>
      </c>
      <c r="G37" s="69"/>
      <c r="H37" s="70">
        <v>151</v>
      </c>
      <c r="I37" s="70">
        <v>0</v>
      </c>
      <c r="J37" s="62">
        <f t="shared" si="1"/>
        <v>16915.02</v>
      </c>
      <c r="K37" s="62">
        <f t="shared" si="2"/>
        <v>151</v>
      </c>
      <c r="L37" s="62">
        <f t="shared" si="3"/>
        <v>151</v>
      </c>
      <c r="M37" s="63">
        <f t="shared" si="4"/>
        <v>16915.02</v>
      </c>
    </row>
    <row r="38" spans="1:13" s="64" customFormat="1" ht="16.5" hidden="1" customHeight="1" x14ac:dyDescent="0.2">
      <c r="A38" s="56" t="s">
        <v>74</v>
      </c>
      <c r="B38" s="56" t="s">
        <v>75</v>
      </c>
      <c r="C38" s="57"/>
      <c r="D38" s="58">
        <v>7.85</v>
      </c>
      <c r="E38" s="58" t="s">
        <v>76</v>
      </c>
      <c r="F38" s="59" t="str">
        <f t="shared" si="0"/>
        <v>0011</v>
      </c>
      <c r="G38" s="60"/>
      <c r="H38" s="61">
        <v>2918</v>
      </c>
      <c r="I38" s="61">
        <v>810</v>
      </c>
      <c r="J38" s="62">
        <f t="shared" si="1"/>
        <v>22906.3</v>
      </c>
      <c r="K38" s="62">
        <f t="shared" si="2"/>
        <v>2108</v>
      </c>
      <c r="L38" s="62">
        <f t="shared" si="3"/>
        <v>2108</v>
      </c>
      <c r="M38" s="63">
        <f t="shared" si="4"/>
        <v>16547.8</v>
      </c>
    </row>
    <row r="39" spans="1:13" s="64" customFormat="1" ht="16.5" hidden="1" customHeight="1" x14ac:dyDescent="0.2">
      <c r="A39" s="56" t="s">
        <v>179</v>
      </c>
      <c r="B39" s="56" t="s">
        <v>180</v>
      </c>
      <c r="C39" s="57" t="s">
        <v>16</v>
      </c>
      <c r="D39" s="58">
        <v>101.35</v>
      </c>
      <c r="E39" s="58" t="s">
        <v>11</v>
      </c>
      <c r="F39" s="59" t="str">
        <f t="shared" si="0"/>
        <v>0011</v>
      </c>
      <c r="G39" s="60"/>
      <c r="H39" s="61">
        <v>7098</v>
      </c>
      <c r="I39" s="61">
        <v>7261</v>
      </c>
      <c r="J39" s="62">
        <f t="shared" si="1"/>
        <v>719382.29999999993</v>
      </c>
      <c r="K39" s="62">
        <f t="shared" si="2"/>
        <v>-163</v>
      </c>
      <c r="L39" s="62">
        <f t="shared" si="3"/>
        <v>-163</v>
      </c>
      <c r="M39" s="63">
        <f t="shared" si="4"/>
        <v>-16520.05</v>
      </c>
    </row>
    <row r="40" spans="1:13" s="64" customFormat="1" ht="16.5" hidden="1" customHeight="1" x14ac:dyDescent="0.2">
      <c r="A40" s="56" t="s">
        <v>177</v>
      </c>
      <c r="B40" s="56" t="s">
        <v>178</v>
      </c>
      <c r="C40" s="57" t="s">
        <v>16</v>
      </c>
      <c r="D40" s="58">
        <v>100.92</v>
      </c>
      <c r="E40" s="58" t="s">
        <v>11</v>
      </c>
      <c r="F40" s="59" t="str">
        <f t="shared" si="0"/>
        <v>0011</v>
      </c>
      <c r="G40" s="60"/>
      <c r="H40" s="61">
        <v>9344</v>
      </c>
      <c r="I40" s="61">
        <v>9507</v>
      </c>
      <c r="J40" s="62">
        <f t="shared" si="1"/>
        <v>942996.47999999998</v>
      </c>
      <c r="K40" s="62">
        <f t="shared" si="2"/>
        <v>-163</v>
      </c>
      <c r="L40" s="62">
        <f t="shared" si="3"/>
        <v>-163</v>
      </c>
      <c r="M40" s="63">
        <f t="shared" si="4"/>
        <v>-16449.96</v>
      </c>
    </row>
    <row r="41" spans="1:13" s="64" customFormat="1" ht="16.5" hidden="1" customHeight="1" x14ac:dyDescent="0.2">
      <c r="A41" s="56" t="s">
        <v>239</v>
      </c>
      <c r="B41" s="56" t="s">
        <v>240</v>
      </c>
      <c r="C41" s="57" t="s">
        <v>499</v>
      </c>
      <c r="D41" s="58">
        <v>26.36</v>
      </c>
      <c r="E41" s="58" t="s">
        <v>11</v>
      </c>
      <c r="F41" s="59" t="str">
        <f t="shared" si="0"/>
        <v>0011</v>
      </c>
      <c r="G41" s="60"/>
      <c r="H41" s="61">
        <v>22800</v>
      </c>
      <c r="I41" s="61">
        <v>23390</v>
      </c>
      <c r="J41" s="62">
        <f t="shared" si="1"/>
        <v>601008</v>
      </c>
      <c r="K41" s="62">
        <f t="shared" si="2"/>
        <v>-590</v>
      </c>
      <c r="L41" s="62">
        <f t="shared" si="3"/>
        <v>-590</v>
      </c>
      <c r="M41" s="63">
        <f t="shared" si="4"/>
        <v>-15552.4</v>
      </c>
    </row>
    <row r="42" spans="1:13" s="64" customFormat="1" ht="16.5" hidden="1" customHeight="1" x14ac:dyDescent="0.2">
      <c r="A42" s="65" t="s">
        <v>157</v>
      </c>
      <c r="B42" s="65" t="s">
        <v>158</v>
      </c>
      <c r="C42" s="66" t="s">
        <v>16</v>
      </c>
      <c r="D42" s="67">
        <v>197.23</v>
      </c>
      <c r="E42" s="67" t="s">
        <v>11</v>
      </c>
      <c r="F42" s="68" t="str">
        <f t="shared" si="0"/>
        <v>0011</v>
      </c>
      <c r="G42" s="69"/>
      <c r="H42" s="70">
        <v>73</v>
      </c>
      <c r="I42" s="70">
        <v>0</v>
      </c>
      <c r="J42" s="62">
        <f t="shared" si="1"/>
        <v>14397.789999999999</v>
      </c>
      <c r="K42" s="62">
        <f t="shared" si="2"/>
        <v>73</v>
      </c>
      <c r="L42" s="62">
        <f t="shared" si="3"/>
        <v>73</v>
      </c>
      <c r="M42" s="63">
        <f t="shared" si="4"/>
        <v>14397.789999999999</v>
      </c>
    </row>
    <row r="43" spans="1:13" s="64" customFormat="1" ht="16.5" hidden="1" customHeight="1" x14ac:dyDescent="0.2">
      <c r="A43" s="56" t="s">
        <v>239</v>
      </c>
      <c r="B43" s="56" t="s">
        <v>240</v>
      </c>
      <c r="C43" s="57" t="s">
        <v>496</v>
      </c>
      <c r="D43" s="58">
        <v>26.36</v>
      </c>
      <c r="E43" s="58" t="s">
        <v>11</v>
      </c>
      <c r="F43" s="59" t="str">
        <f t="shared" si="0"/>
        <v>0011</v>
      </c>
      <c r="G43" s="60"/>
      <c r="H43" s="61">
        <v>0</v>
      </c>
      <c r="I43" s="61">
        <v>500</v>
      </c>
      <c r="J43" s="62">
        <f t="shared" si="1"/>
        <v>0</v>
      </c>
      <c r="K43" s="62">
        <f t="shared" si="2"/>
        <v>-500</v>
      </c>
      <c r="L43" s="62">
        <f t="shared" si="3"/>
        <v>-500</v>
      </c>
      <c r="M43" s="63">
        <f t="shared" si="4"/>
        <v>-13180</v>
      </c>
    </row>
    <row r="44" spans="1:13" s="64" customFormat="1" ht="16.5" hidden="1" customHeight="1" x14ac:dyDescent="0.2">
      <c r="A44" s="56" t="s">
        <v>175</v>
      </c>
      <c r="B44" s="56" t="s">
        <v>176</v>
      </c>
      <c r="C44" s="57" t="s">
        <v>16</v>
      </c>
      <c r="D44" s="58">
        <v>163.54</v>
      </c>
      <c r="E44" s="58" t="s">
        <v>11</v>
      </c>
      <c r="F44" s="59" t="str">
        <f t="shared" si="0"/>
        <v>0011</v>
      </c>
      <c r="G44" s="60"/>
      <c r="H44" s="61">
        <v>1331</v>
      </c>
      <c r="I44" s="61">
        <v>1408</v>
      </c>
      <c r="J44" s="62">
        <f t="shared" si="1"/>
        <v>217671.74</v>
      </c>
      <c r="K44" s="62">
        <f t="shared" si="2"/>
        <v>-77</v>
      </c>
      <c r="L44" s="62">
        <f t="shared" si="3"/>
        <v>-77</v>
      </c>
      <c r="M44" s="63">
        <f t="shared" si="4"/>
        <v>-12592.58</v>
      </c>
    </row>
    <row r="45" spans="1:13" s="64" customFormat="1" ht="16.5" hidden="1" customHeight="1" x14ac:dyDescent="0.2">
      <c r="A45" s="56" t="s">
        <v>134</v>
      </c>
      <c r="B45" s="56" t="s">
        <v>135</v>
      </c>
      <c r="C45" s="57" t="s">
        <v>283</v>
      </c>
      <c r="D45" s="58">
        <v>19.7</v>
      </c>
      <c r="E45" s="58" t="s">
        <v>11</v>
      </c>
      <c r="F45" s="59" t="str">
        <f t="shared" si="0"/>
        <v>0011</v>
      </c>
      <c r="G45" s="60"/>
      <c r="H45" s="61">
        <v>1045</v>
      </c>
      <c r="I45" s="61">
        <v>412</v>
      </c>
      <c r="J45" s="62">
        <f t="shared" si="1"/>
        <v>20586.5</v>
      </c>
      <c r="K45" s="62">
        <f t="shared" si="2"/>
        <v>633</v>
      </c>
      <c r="L45" s="62">
        <f t="shared" si="3"/>
        <v>633</v>
      </c>
      <c r="M45" s="63">
        <f t="shared" si="4"/>
        <v>12470.1</v>
      </c>
    </row>
    <row r="46" spans="1:13" s="64" customFormat="1" ht="16.5" hidden="1" customHeight="1" x14ac:dyDescent="0.2">
      <c r="A46" s="56" t="s">
        <v>183</v>
      </c>
      <c r="B46" s="56" t="s">
        <v>184</v>
      </c>
      <c r="C46" s="57" t="s">
        <v>16</v>
      </c>
      <c r="D46" s="58">
        <v>101.56</v>
      </c>
      <c r="E46" s="58" t="s">
        <v>11</v>
      </c>
      <c r="F46" s="59" t="str">
        <f t="shared" si="0"/>
        <v>0011</v>
      </c>
      <c r="G46" s="60"/>
      <c r="H46" s="61">
        <v>4872</v>
      </c>
      <c r="I46" s="61">
        <v>4994</v>
      </c>
      <c r="J46" s="62">
        <f t="shared" si="1"/>
        <v>494800.32</v>
      </c>
      <c r="K46" s="62">
        <f t="shared" si="2"/>
        <v>-122</v>
      </c>
      <c r="L46" s="62">
        <f t="shared" si="3"/>
        <v>-122</v>
      </c>
      <c r="M46" s="63">
        <f t="shared" si="4"/>
        <v>-12390.32</v>
      </c>
    </row>
    <row r="47" spans="1:13" s="64" customFormat="1" ht="16.5" hidden="1" customHeight="1" x14ac:dyDescent="0.2">
      <c r="A47" s="56" t="s">
        <v>68</v>
      </c>
      <c r="B47" s="56" t="s">
        <v>69</v>
      </c>
      <c r="C47" s="57"/>
      <c r="D47" s="58">
        <v>175.32</v>
      </c>
      <c r="E47" s="58" t="s">
        <v>11</v>
      </c>
      <c r="F47" s="59" t="str">
        <f t="shared" si="0"/>
        <v>0011</v>
      </c>
      <c r="G47" s="60"/>
      <c r="H47" s="61">
        <v>0</v>
      </c>
      <c r="I47" s="61">
        <v>69</v>
      </c>
      <c r="J47" s="62">
        <f t="shared" si="1"/>
        <v>0</v>
      </c>
      <c r="K47" s="62">
        <f t="shared" si="2"/>
        <v>-69</v>
      </c>
      <c r="L47" s="62">
        <f t="shared" si="3"/>
        <v>-69</v>
      </c>
      <c r="M47" s="63">
        <f t="shared" si="4"/>
        <v>-12097.08</v>
      </c>
    </row>
    <row r="48" spans="1:13" s="64" customFormat="1" ht="16.5" hidden="1" customHeight="1" x14ac:dyDescent="0.2">
      <c r="A48" s="65" t="s">
        <v>68</v>
      </c>
      <c r="B48" s="65" t="s">
        <v>69</v>
      </c>
      <c r="C48" s="66" t="s">
        <v>16</v>
      </c>
      <c r="D48" s="67">
        <v>175.32</v>
      </c>
      <c r="E48" s="67" t="s">
        <v>11</v>
      </c>
      <c r="F48" s="68" t="str">
        <f t="shared" si="0"/>
        <v>0011</v>
      </c>
      <c r="G48" s="69"/>
      <c r="H48" s="70">
        <v>69</v>
      </c>
      <c r="I48" s="70">
        <v>0</v>
      </c>
      <c r="J48" s="62">
        <f t="shared" si="1"/>
        <v>12097.08</v>
      </c>
      <c r="K48" s="62">
        <f t="shared" si="2"/>
        <v>69</v>
      </c>
      <c r="L48" s="62">
        <f t="shared" si="3"/>
        <v>69</v>
      </c>
      <c r="M48" s="63">
        <f t="shared" si="4"/>
        <v>12097.08</v>
      </c>
    </row>
    <row r="49" spans="1:13" s="64" customFormat="1" ht="16.5" hidden="1" customHeight="1" x14ac:dyDescent="0.2">
      <c r="A49" s="65" t="s">
        <v>155</v>
      </c>
      <c r="B49" s="65" t="s">
        <v>156</v>
      </c>
      <c r="C49" s="66" t="s">
        <v>16</v>
      </c>
      <c r="D49" s="67">
        <v>177.93</v>
      </c>
      <c r="E49" s="67" t="s">
        <v>11</v>
      </c>
      <c r="F49" s="68" t="str">
        <f t="shared" si="0"/>
        <v>0011</v>
      </c>
      <c r="G49" s="69"/>
      <c r="H49" s="70">
        <v>67</v>
      </c>
      <c r="I49" s="70">
        <v>0</v>
      </c>
      <c r="J49" s="62">
        <f t="shared" si="1"/>
        <v>11921.310000000001</v>
      </c>
      <c r="K49" s="62">
        <f t="shared" si="2"/>
        <v>67</v>
      </c>
      <c r="L49" s="62">
        <f t="shared" si="3"/>
        <v>67</v>
      </c>
      <c r="M49" s="63">
        <f t="shared" si="4"/>
        <v>11921.310000000001</v>
      </c>
    </row>
    <row r="50" spans="1:13" s="64" customFormat="1" ht="16.5" hidden="1" customHeight="1" x14ac:dyDescent="0.2">
      <c r="A50" s="56" t="s">
        <v>377</v>
      </c>
      <c r="B50" s="56" t="s">
        <v>378</v>
      </c>
      <c r="C50" s="57"/>
      <c r="D50" s="58">
        <v>140.16</v>
      </c>
      <c r="E50" s="58" t="s">
        <v>11</v>
      </c>
      <c r="F50" s="59" t="str">
        <f t="shared" si="0"/>
        <v>0011</v>
      </c>
      <c r="G50" s="60"/>
      <c r="H50" s="61">
        <v>22</v>
      </c>
      <c r="I50" s="61">
        <v>101</v>
      </c>
      <c r="J50" s="62">
        <f t="shared" si="1"/>
        <v>3083.52</v>
      </c>
      <c r="K50" s="62">
        <f t="shared" si="2"/>
        <v>-79</v>
      </c>
      <c r="L50" s="62">
        <f t="shared" si="3"/>
        <v>-79</v>
      </c>
      <c r="M50" s="63">
        <f t="shared" si="4"/>
        <v>-11072.64</v>
      </c>
    </row>
    <row r="51" spans="1:13" s="64" customFormat="1" ht="16.5" hidden="1" customHeight="1" x14ac:dyDescent="0.2">
      <c r="A51" s="56" t="s">
        <v>210</v>
      </c>
      <c r="B51" s="56" t="s">
        <v>211</v>
      </c>
      <c r="C51" s="57" t="s">
        <v>427</v>
      </c>
      <c r="D51" s="58">
        <v>29.48</v>
      </c>
      <c r="E51" s="58" t="s">
        <v>11</v>
      </c>
      <c r="F51" s="59" t="str">
        <f t="shared" si="0"/>
        <v>0011</v>
      </c>
      <c r="G51" s="60"/>
      <c r="H51" s="61">
        <v>1444</v>
      </c>
      <c r="I51" s="61">
        <v>1796</v>
      </c>
      <c r="J51" s="62">
        <f t="shared" si="1"/>
        <v>42569.120000000003</v>
      </c>
      <c r="K51" s="62">
        <f t="shared" si="2"/>
        <v>-352</v>
      </c>
      <c r="L51" s="62">
        <f t="shared" si="3"/>
        <v>-352</v>
      </c>
      <c r="M51" s="63">
        <f t="shared" si="4"/>
        <v>-10376.960000000001</v>
      </c>
    </row>
    <row r="52" spans="1:13" s="64" customFormat="1" ht="16.5" hidden="1" customHeight="1" x14ac:dyDescent="0.2">
      <c r="A52" s="56" t="s">
        <v>393</v>
      </c>
      <c r="B52" s="56" t="s">
        <v>394</v>
      </c>
      <c r="C52" s="57"/>
      <c r="D52" s="58">
        <v>147.15</v>
      </c>
      <c r="E52" s="58" t="s">
        <v>11</v>
      </c>
      <c r="F52" s="59" t="str">
        <f t="shared" si="0"/>
        <v>0011</v>
      </c>
      <c r="G52" s="60"/>
      <c r="H52" s="61">
        <v>72</v>
      </c>
      <c r="I52" s="61">
        <v>142</v>
      </c>
      <c r="J52" s="62">
        <f t="shared" si="1"/>
        <v>10594.800000000001</v>
      </c>
      <c r="K52" s="62">
        <f t="shared" si="2"/>
        <v>-70</v>
      </c>
      <c r="L52" s="62">
        <f t="shared" si="3"/>
        <v>-70</v>
      </c>
      <c r="M52" s="63">
        <f t="shared" si="4"/>
        <v>-10300.5</v>
      </c>
    </row>
    <row r="53" spans="1:13" s="64" customFormat="1" ht="16.5" hidden="1" customHeight="1" x14ac:dyDescent="0.2">
      <c r="A53" s="56" t="s">
        <v>207</v>
      </c>
      <c r="B53" s="56" t="s">
        <v>208</v>
      </c>
      <c r="C53" s="57" t="s">
        <v>209</v>
      </c>
      <c r="D53" s="58">
        <v>29.67</v>
      </c>
      <c r="E53" s="58" t="s">
        <v>11</v>
      </c>
      <c r="F53" s="59" t="str">
        <f t="shared" si="0"/>
        <v>0011</v>
      </c>
      <c r="G53" s="60"/>
      <c r="H53" s="61">
        <v>1115</v>
      </c>
      <c r="I53" s="61">
        <v>1427</v>
      </c>
      <c r="J53" s="62">
        <f t="shared" si="1"/>
        <v>33082.050000000003</v>
      </c>
      <c r="K53" s="62">
        <f t="shared" si="2"/>
        <v>-312</v>
      </c>
      <c r="L53" s="62">
        <f t="shared" si="3"/>
        <v>-312</v>
      </c>
      <c r="M53" s="63">
        <f t="shared" si="4"/>
        <v>-9257.0400000000009</v>
      </c>
    </row>
    <row r="54" spans="1:13" s="64" customFormat="1" ht="16.5" hidden="1" customHeight="1" x14ac:dyDescent="0.2">
      <c r="A54" s="56" t="s">
        <v>429</v>
      </c>
      <c r="B54" s="56" t="s">
        <v>430</v>
      </c>
      <c r="C54" s="57" t="s">
        <v>432</v>
      </c>
      <c r="D54" s="58">
        <v>39.43</v>
      </c>
      <c r="E54" s="58" t="s">
        <v>11</v>
      </c>
      <c r="F54" s="59" t="str">
        <f t="shared" si="0"/>
        <v>0011</v>
      </c>
      <c r="G54" s="60"/>
      <c r="H54" s="61">
        <v>0</v>
      </c>
      <c r="I54" s="61">
        <v>231</v>
      </c>
      <c r="J54" s="62">
        <f t="shared" si="1"/>
        <v>0</v>
      </c>
      <c r="K54" s="62">
        <f t="shared" si="2"/>
        <v>-231</v>
      </c>
      <c r="L54" s="62">
        <f t="shared" si="3"/>
        <v>-231</v>
      </c>
      <c r="M54" s="63">
        <f t="shared" si="4"/>
        <v>-9108.33</v>
      </c>
    </row>
    <row r="55" spans="1:13" s="64" customFormat="1" ht="16.5" hidden="1" customHeight="1" x14ac:dyDescent="0.2">
      <c r="A55" s="56" t="s">
        <v>210</v>
      </c>
      <c r="B55" s="56" t="s">
        <v>211</v>
      </c>
      <c r="C55" s="57" t="s">
        <v>212</v>
      </c>
      <c r="D55" s="58">
        <v>29.48</v>
      </c>
      <c r="E55" s="58" t="s">
        <v>11</v>
      </c>
      <c r="F55" s="59" t="str">
        <f t="shared" si="0"/>
        <v>0011</v>
      </c>
      <c r="G55" s="60"/>
      <c r="H55" s="61">
        <v>332</v>
      </c>
      <c r="I55" s="61">
        <v>637</v>
      </c>
      <c r="J55" s="62">
        <f t="shared" si="1"/>
        <v>9787.36</v>
      </c>
      <c r="K55" s="62">
        <f t="shared" si="2"/>
        <v>-305</v>
      </c>
      <c r="L55" s="62">
        <f t="shared" si="3"/>
        <v>-305</v>
      </c>
      <c r="M55" s="63">
        <f t="shared" si="4"/>
        <v>-8991.4</v>
      </c>
    </row>
    <row r="56" spans="1:13" s="64" customFormat="1" ht="16.5" hidden="1" customHeight="1" x14ac:dyDescent="0.2">
      <c r="A56" s="65" t="s">
        <v>239</v>
      </c>
      <c r="B56" s="65" t="s">
        <v>240</v>
      </c>
      <c r="C56" s="66" t="s">
        <v>639</v>
      </c>
      <c r="D56" s="67">
        <v>26.36</v>
      </c>
      <c r="E56" s="67" t="s">
        <v>11</v>
      </c>
      <c r="F56" s="68" t="str">
        <f t="shared" si="0"/>
        <v>0011</v>
      </c>
      <c r="G56" s="69"/>
      <c r="H56" s="70">
        <v>340</v>
      </c>
      <c r="I56" s="70">
        <v>0</v>
      </c>
      <c r="J56" s="62">
        <f t="shared" si="1"/>
        <v>8962.4</v>
      </c>
      <c r="K56" s="62">
        <f t="shared" si="2"/>
        <v>340</v>
      </c>
      <c r="L56" s="62">
        <f t="shared" si="3"/>
        <v>340</v>
      </c>
      <c r="M56" s="63">
        <f t="shared" si="4"/>
        <v>8962.4</v>
      </c>
    </row>
    <row r="57" spans="1:13" s="64" customFormat="1" ht="16.5" hidden="1" customHeight="1" x14ac:dyDescent="0.2">
      <c r="A57" s="65" t="s">
        <v>214</v>
      </c>
      <c r="B57" s="65" t="s">
        <v>215</v>
      </c>
      <c r="C57" s="66" t="s">
        <v>663</v>
      </c>
      <c r="D57" s="67">
        <v>15.11</v>
      </c>
      <c r="E57" s="67" t="s">
        <v>11</v>
      </c>
      <c r="F57" s="68" t="str">
        <f t="shared" si="0"/>
        <v>0011</v>
      </c>
      <c r="G57" s="69"/>
      <c r="H57" s="70">
        <v>588</v>
      </c>
      <c r="I57" s="70">
        <v>0</v>
      </c>
      <c r="J57" s="62">
        <f t="shared" si="1"/>
        <v>8884.68</v>
      </c>
      <c r="K57" s="62">
        <f t="shared" si="2"/>
        <v>588</v>
      </c>
      <c r="L57" s="62">
        <f t="shared" si="3"/>
        <v>588</v>
      </c>
      <c r="M57" s="63">
        <f t="shared" si="4"/>
        <v>8884.68</v>
      </c>
    </row>
    <row r="58" spans="1:13" s="64" customFormat="1" ht="16.5" hidden="1" customHeight="1" x14ac:dyDescent="0.2">
      <c r="A58" s="56" t="s">
        <v>157</v>
      </c>
      <c r="B58" s="56" t="s">
        <v>158</v>
      </c>
      <c r="C58" s="57"/>
      <c r="D58" s="58">
        <v>197.23</v>
      </c>
      <c r="E58" s="58" t="s">
        <v>11</v>
      </c>
      <c r="F58" s="59" t="str">
        <f t="shared" si="0"/>
        <v>0011</v>
      </c>
      <c r="G58" s="60"/>
      <c r="H58" s="61">
        <v>0</v>
      </c>
      <c r="I58" s="61">
        <v>45</v>
      </c>
      <c r="J58" s="62">
        <f t="shared" si="1"/>
        <v>0</v>
      </c>
      <c r="K58" s="62">
        <f t="shared" si="2"/>
        <v>-45</v>
      </c>
      <c r="L58" s="62">
        <f t="shared" si="3"/>
        <v>-45</v>
      </c>
      <c r="M58" s="63">
        <f t="shared" si="4"/>
        <v>-8875.35</v>
      </c>
    </row>
    <row r="59" spans="1:13" s="64" customFormat="1" ht="16.5" hidden="1" customHeight="1" x14ac:dyDescent="0.2">
      <c r="A59" s="56" t="s">
        <v>173</v>
      </c>
      <c r="B59" s="56" t="s">
        <v>174</v>
      </c>
      <c r="C59" s="57" t="s">
        <v>16</v>
      </c>
      <c r="D59" s="58">
        <v>167.25</v>
      </c>
      <c r="E59" s="58" t="s">
        <v>11</v>
      </c>
      <c r="F59" s="59" t="str">
        <f t="shared" si="0"/>
        <v>0011</v>
      </c>
      <c r="G59" s="60"/>
      <c r="H59" s="61">
        <v>1735</v>
      </c>
      <c r="I59" s="61">
        <v>1788</v>
      </c>
      <c r="J59" s="62">
        <f t="shared" si="1"/>
        <v>290178.75</v>
      </c>
      <c r="K59" s="62">
        <f t="shared" si="2"/>
        <v>-53</v>
      </c>
      <c r="L59" s="62">
        <f t="shared" si="3"/>
        <v>-53</v>
      </c>
      <c r="M59" s="63">
        <f t="shared" si="4"/>
        <v>-8864.25</v>
      </c>
    </row>
    <row r="60" spans="1:13" s="64" customFormat="1" ht="16.5" hidden="1" customHeight="1" x14ac:dyDescent="0.2">
      <c r="A60" s="56" t="s">
        <v>210</v>
      </c>
      <c r="B60" s="56" t="s">
        <v>211</v>
      </c>
      <c r="C60" s="57" t="s">
        <v>428</v>
      </c>
      <c r="D60" s="58">
        <v>29.48</v>
      </c>
      <c r="E60" s="58" t="s">
        <v>11</v>
      </c>
      <c r="F60" s="59" t="str">
        <f t="shared" si="0"/>
        <v>0011</v>
      </c>
      <c r="G60" s="60"/>
      <c r="H60" s="61">
        <v>328</v>
      </c>
      <c r="I60" s="61">
        <v>30</v>
      </c>
      <c r="J60" s="62">
        <f t="shared" si="1"/>
        <v>9669.44</v>
      </c>
      <c r="K60" s="62">
        <f t="shared" si="2"/>
        <v>298</v>
      </c>
      <c r="L60" s="62">
        <f t="shared" si="3"/>
        <v>298</v>
      </c>
      <c r="M60" s="63">
        <f t="shared" si="4"/>
        <v>8785.0400000000009</v>
      </c>
    </row>
    <row r="61" spans="1:13" s="64" customFormat="1" ht="16.5" hidden="1" customHeight="1" x14ac:dyDescent="0.2">
      <c r="A61" s="65" t="s">
        <v>429</v>
      </c>
      <c r="B61" s="65" t="s">
        <v>430</v>
      </c>
      <c r="C61" s="66" t="s">
        <v>668</v>
      </c>
      <c r="D61" s="67">
        <v>39.43</v>
      </c>
      <c r="E61" s="67" t="s">
        <v>11</v>
      </c>
      <c r="F61" s="68" t="str">
        <f t="shared" si="0"/>
        <v>0011</v>
      </c>
      <c r="G61" s="69"/>
      <c r="H61" s="70">
        <v>222</v>
      </c>
      <c r="I61" s="70">
        <v>0</v>
      </c>
      <c r="J61" s="62">
        <f t="shared" si="1"/>
        <v>8753.4599999999991</v>
      </c>
      <c r="K61" s="62">
        <f t="shared" si="2"/>
        <v>222</v>
      </c>
      <c r="L61" s="62">
        <f t="shared" si="3"/>
        <v>222</v>
      </c>
      <c r="M61" s="63">
        <f t="shared" si="4"/>
        <v>8753.4599999999991</v>
      </c>
    </row>
    <row r="62" spans="1:13" s="64" customFormat="1" ht="16.5" hidden="1" customHeight="1" x14ac:dyDescent="0.2">
      <c r="A62" s="56" t="s">
        <v>144</v>
      </c>
      <c r="B62" s="56" t="s">
        <v>145</v>
      </c>
      <c r="C62" s="57"/>
      <c r="D62" s="58">
        <v>176.62</v>
      </c>
      <c r="E62" s="58" t="s">
        <v>11</v>
      </c>
      <c r="F62" s="59" t="str">
        <f t="shared" si="0"/>
        <v>0011</v>
      </c>
      <c r="G62" s="60"/>
      <c r="H62" s="61">
        <v>0</v>
      </c>
      <c r="I62" s="61">
        <v>46</v>
      </c>
      <c r="J62" s="62">
        <f t="shared" si="1"/>
        <v>0</v>
      </c>
      <c r="K62" s="62">
        <f t="shared" si="2"/>
        <v>-46</v>
      </c>
      <c r="L62" s="62">
        <f t="shared" si="3"/>
        <v>-46</v>
      </c>
      <c r="M62" s="63">
        <f t="shared" si="4"/>
        <v>-8124.52</v>
      </c>
    </row>
    <row r="63" spans="1:13" s="64" customFormat="1" ht="16.5" hidden="1" customHeight="1" x14ac:dyDescent="0.2">
      <c r="A63" s="65" t="s">
        <v>144</v>
      </c>
      <c r="B63" s="65" t="s">
        <v>145</v>
      </c>
      <c r="C63" s="66" t="s">
        <v>16</v>
      </c>
      <c r="D63" s="67">
        <v>176.62</v>
      </c>
      <c r="E63" s="67" t="s">
        <v>11</v>
      </c>
      <c r="F63" s="68" t="str">
        <f t="shared" si="0"/>
        <v>0011</v>
      </c>
      <c r="G63" s="69"/>
      <c r="H63" s="70">
        <v>46</v>
      </c>
      <c r="I63" s="70">
        <v>0</v>
      </c>
      <c r="J63" s="62">
        <f t="shared" si="1"/>
        <v>8124.52</v>
      </c>
      <c r="K63" s="62">
        <f t="shared" si="2"/>
        <v>46</v>
      </c>
      <c r="L63" s="62">
        <f t="shared" si="3"/>
        <v>46</v>
      </c>
      <c r="M63" s="63">
        <f t="shared" si="4"/>
        <v>8124.52</v>
      </c>
    </row>
    <row r="64" spans="1:13" s="64" customFormat="1" ht="16.5" hidden="1" customHeight="1" x14ac:dyDescent="0.2">
      <c r="A64" s="56" t="s">
        <v>322</v>
      </c>
      <c r="B64" s="56" t="s">
        <v>323</v>
      </c>
      <c r="C64" s="57"/>
      <c r="D64" s="58">
        <v>45.12</v>
      </c>
      <c r="E64" s="58" t="s">
        <v>11</v>
      </c>
      <c r="F64" s="59" t="str">
        <f t="shared" si="0"/>
        <v>0011</v>
      </c>
      <c r="G64" s="60"/>
      <c r="H64" s="61">
        <v>179</v>
      </c>
      <c r="I64" s="61">
        <v>359</v>
      </c>
      <c r="J64" s="62">
        <f t="shared" si="1"/>
        <v>8076.48</v>
      </c>
      <c r="K64" s="62">
        <f t="shared" si="2"/>
        <v>-180</v>
      </c>
      <c r="L64" s="62">
        <f t="shared" si="3"/>
        <v>-180</v>
      </c>
      <c r="M64" s="63">
        <f t="shared" si="4"/>
        <v>-8121.5999999999995</v>
      </c>
    </row>
    <row r="65" spans="1:13" s="64" customFormat="1" ht="16.5" hidden="1" customHeight="1" x14ac:dyDescent="0.2">
      <c r="A65" s="56" t="s">
        <v>193</v>
      </c>
      <c r="B65" s="56" t="s">
        <v>194</v>
      </c>
      <c r="C65" s="57" t="s">
        <v>16</v>
      </c>
      <c r="D65" s="58">
        <v>101.19</v>
      </c>
      <c r="E65" s="58" t="s">
        <v>11</v>
      </c>
      <c r="F65" s="59" t="str">
        <f t="shared" si="0"/>
        <v>0011</v>
      </c>
      <c r="G65" s="60"/>
      <c r="H65" s="61">
        <v>34</v>
      </c>
      <c r="I65" s="61">
        <v>112</v>
      </c>
      <c r="J65" s="62">
        <f t="shared" si="1"/>
        <v>3440.46</v>
      </c>
      <c r="K65" s="62">
        <f t="shared" si="2"/>
        <v>-78</v>
      </c>
      <c r="L65" s="62">
        <f t="shared" si="3"/>
        <v>-78</v>
      </c>
      <c r="M65" s="63">
        <f t="shared" si="4"/>
        <v>-7892.82</v>
      </c>
    </row>
    <row r="66" spans="1:13" s="64" customFormat="1" ht="16.5" hidden="1" customHeight="1" x14ac:dyDescent="0.2">
      <c r="A66" s="65" t="s">
        <v>32</v>
      </c>
      <c r="B66" s="65" t="s">
        <v>33</v>
      </c>
      <c r="C66" s="66" t="s">
        <v>652</v>
      </c>
      <c r="D66" s="67">
        <v>3.03</v>
      </c>
      <c r="E66" s="67" t="s">
        <v>11</v>
      </c>
      <c r="F66" s="68" t="str">
        <f t="shared" si="0"/>
        <v>0011</v>
      </c>
      <c r="G66" s="69"/>
      <c r="H66" s="70">
        <v>2542</v>
      </c>
      <c r="I66" s="70">
        <v>0</v>
      </c>
      <c r="J66" s="62">
        <f t="shared" si="1"/>
        <v>7702.2599999999993</v>
      </c>
      <c r="K66" s="62">
        <f t="shared" si="2"/>
        <v>2542</v>
      </c>
      <c r="L66" s="62">
        <f t="shared" si="3"/>
        <v>2542</v>
      </c>
      <c r="M66" s="63">
        <f t="shared" si="4"/>
        <v>7702.2599999999993</v>
      </c>
    </row>
    <row r="67" spans="1:13" s="64" customFormat="1" ht="16.5" hidden="1" customHeight="1" x14ac:dyDescent="0.2">
      <c r="A67" s="65" t="s">
        <v>58</v>
      </c>
      <c r="B67" s="65" t="s">
        <v>59</v>
      </c>
      <c r="C67" s="66" t="s">
        <v>659</v>
      </c>
      <c r="D67" s="67">
        <v>10.46</v>
      </c>
      <c r="E67" s="67" t="s">
        <v>11</v>
      </c>
      <c r="F67" s="68" t="str">
        <f t="shared" si="0"/>
        <v>0011</v>
      </c>
      <c r="G67" s="69"/>
      <c r="H67" s="70">
        <v>732</v>
      </c>
      <c r="I67" s="70">
        <v>0</v>
      </c>
      <c r="J67" s="62">
        <f t="shared" si="1"/>
        <v>7656.72</v>
      </c>
      <c r="K67" s="62">
        <f t="shared" si="2"/>
        <v>732</v>
      </c>
      <c r="L67" s="62">
        <f t="shared" si="3"/>
        <v>732</v>
      </c>
      <c r="M67" s="63">
        <f t="shared" si="4"/>
        <v>7656.72</v>
      </c>
    </row>
    <row r="68" spans="1:13" s="64" customFormat="1" ht="16.5" hidden="1" customHeight="1" x14ac:dyDescent="0.2">
      <c r="A68" s="65" t="s">
        <v>159</v>
      </c>
      <c r="B68" s="65" t="s">
        <v>160</v>
      </c>
      <c r="C68" s="66" t="s">
        <v>16</v>
      </c>
      <c r="D68" s="67">
        <v>95.05</v>
      </c>
      <c r="E68" s="67" t="s">
        <v>11</v>
      </c>
      <c r="F68" s="68" t="str">
        <f t="shared" si="0"/>
        <v>0011</v>
      </c>
      <c r="G68" s="69"/>
      <c r="H68" s="70">
        <v>77</v>
      </c>
      <c r="I68" s="70">
        <v>0</v>
      </c>
      <c r="J68" s="62">
        <f t="shared" si="1"/>
        <v>7318.8499999999995</v>
      </c>
      <c r="K68" s="62">
        <f t="shared" si="2"/>
        <v>77</v>
      </c>
      <c r="L68" s="62">
        <f t="shared" si="3"/>
        <v>77</v>
      </c>
      <c r="M68" s="63">
        <f t="shared" si="4"/>
        <v>7318.8499999999995</v>
      </c>
    </row>
    <row r="69" spans="1:13" s="64" customFormat="1" ht="16.5" hidden="1" customHeight="1" x14ac:dyDescent="0.2">
      <c r="A69" s="56" t="s">
        <v>134</v>
      </c>
      <c r="B69" s="56" t="s">
        <v>135</v>
      </c>
      <c r="C69" s="57" t="s">
        <v>136</v>
      </c>
      <c r="D69" s="58">
        <v>19.7</v>
      </c>
      <c r="E69" s="58" t="s">
        <v>11</v>
      </c>
      <c r="F69" s="59" t="str">
        <f t="shared" si="0"/>
        <v>0011</v>
      </c>
      <c r="G69" s="60"/>
      <c r="H69" s="61">
        <v>48</v>
      </c>
      <c r="I69" s="61">
        <v>418</v>
      </c>
      <c r="J69" s="62">
        <f t="shared" si="1"/>
        <v>945.59999999999991</v>
      </c>
      <c r="K69" s="62">
        <f t="shared" si="2"/>
        <v>-370</v>
      </c>
      <c r="L69" s="62">
        <f t="shared" si="3"/>
        <v>-370</v>
      </c>
      <c r="M69" s="63">
        <f t="shared" si="4"/>
        <v>-7289</v>
      </c>
    </row>
    <row r="70" spans="1:13" s="64" customFormat="1" ht="16.5" hidden="1" customHeight="1" x14ac:dyDescent="0.2">
      <c r="A70" s="56" t="s">
        <v>32</v>
      </c>
      <c r="B70" s="56" t="s">
        <v>33</v>
      </c>
      <c r="C70" s="57" t="s">
        <v>520</v>
      </c>
      <c r="D70" s="58">
        <v>3.03</v>
      </c>
      <c r="E70" s="58" t="s">
        <v>11</v>
      </c>
      <c r="F70" s="59" t="str">
        <f t="shared" si="0"/>
        <v>0011</v>
      </c>
      <c r="G70" s="60"/>
      <c r="H70" s="61">
        <v>0</v>
      </c>
      <c r="I70" s="61">
        <v>2403</v>
      </c>
      <c r="J70" s="62">
        <f t="shared" si="1"/>
        <v>0</v>
      </c>
      <c r="K70" s="62">
        <f t="shared" si="2"/>
        <v>-2403</v>
      </c>
      <c r="L70" s="62">
        <f t="shared" si="3"/>
        <v>-2403</v>
      </c>
      <c r="M70" s="63">
        <f t="shared" si="4"/>
        <v>-7281.0899999999992</v>
      </c>
    </row>
    <row r="71" spans="1:13" s="64" customFormat="1" ht="16.5" hidden="1" customHeight="1" x14ac:dyDescent="0.2">
      <c r="A71" s="56" t="s">
        <v>51</v>
      </c>
      <c r="B71" s="56" t="s">
        <v>52</v>
      </c>
      <c r="C71" s="57" t="s">
        <v>267</v>
      </c>
      <c r="D71" s="58">
        <v>7.04</v>
      </c>
      <c r="E71" s="58" t="s">
        <v>11</v>
      </c>
      <c r="F71" s="59" t="str">
        <f t="shared" si="0"/>
        <v>0011</v>
      </c>
      <c r="G71" s="60"/>
      <c r="H71" s="61">
        <v>9024</v>
      </c>
      <c r="I71" s="61">
        <v>8000</v>
      </c>
      <c r="J71" s="62">
        <f t="shared" si="1"/>
        <v>63528.959999999999</v>
      </c>
      <c r="K71" s="62">
        <f t="shared" si="2"/>
        <v>1024</v>
      </c>
      <c r="L71" s="62">
        <f t="shared" si="3"/>
        <v>1024</v>
      </c>
      <c r="M71" s="63">
        <f t="shared" si="4"/>
        <v>7208.96</v>
      </c>
    </row>
    <row r="72" spans="1:13" s="64" customFormat="1" ht="16.5" hidden="1" customHeight="1" x14ac:dyDescent="0.2">
      <c r="A72" s="65" t="s">
        <v>155</v>
      </c>
      <c r="B72" s="65" t="s">
        <v>156</v>
      </c>
      <c r="C72" s="66" t="s">
        <v>154</v>
      </c>
      <c r="D72" s="67">
        <v>177.93</v>
      </c>
      <c r="E72" s="67" t="s">
        <v>11</v>
      </c>
      <c r="F72" s="68" t="str">
        <f t="shared" ref="F72:F135" si="5">+$M$3</f>
        <v>0011</v>
      </c>
      <c r="G72" s="69"/>
      <c r="H72" s="70">
        <v>40</v>
      </c>
      <c r="I72" s="70">
        <v>0</v>
      </c>
      <c r="J72" s="62">
        <f t="shared" ref="J72:J135" si="6">D72*H72</f>
        <v>7117.2000000000007</v>
      </c>
      <c r="K72" s="62">
        <f t="shared" ref="K72:K135" si="7">H72-I72</f>
        <v>40</v>
      </c>
      <c r="L72" s="62">
        <f t="shared" ref="L72:L135" si="8">H72-I72</f>
        <v>40</v>
      </c>
      <c r="M72" s="63">
        <f t="shared" ref="M72:M135" si="9">L72*D72</f>
        <v>7117.2000000000007</v>
      </c>
    </row>
    <row r="73" spans="1:13" s="64" customFormat="1" ht="16.5" hidden="1" customHeight="1" x14ac:dyDescent="0.2">
      <c r="A73" s="65" t="s">
        <v>236</v>
      </c>
      <c r="B73" s="65" t="s">
        <v>237</v>
      </c>
      <c r="C73" s="66" t="s">
        <v>643</v>
      </c>
      <c r="D73" s="67">
        <v>15.08</v>
      </c>
      <c r="E73" s="67" t="s">
        <v>11</v>
      </c>
      <c r="F73" s="68" t="str">
        <f t="shared" si="5"/>
        <v>0011</v>
      </c>
      <c r="G73" s="69"/>
      <c r="H73" s="70">
        <v>450</v>
      </c>
      <c r="I73" s="70">
        <v>0</v>
      </c>
      <c r="J73" s="62">
        <f t="shared" si="6"/>
        <v>6786</v>
      </c>
      <c r="K73" s="62">
        <f t="shared" si="7"/>
        <v>450</v>
      </c>
      <c r="L73" s="62">
        <f t="shared" si="8"/>
        <v>450</v>
      </c>
      <c r="M73" s="63">
        <f t="shared" si="9"/>
        <v>6786</v>
      </c>
    </row>
    <row r="74" spans="1:13" s="64" customFormat="1" ht="16.5" hidden="1" customHeight="1" x14ac:dyDescent="0.2">
      <c r="A74" s="65" t="s">
        <v>97</v>
      </c>
      <c r="B74" s="65" t="s">
        <v>98</v>
      </c>
      <c r="C74" s="66" t="s">
        <v>660</v>
      </c>
      <c r="D74" s="67">
        <v>18.18</v>
      </c>
      <c r="E74" s="67" t="s">
        <v>11</v>
      </c>
      <c r="F74" s="68" t="str">
        <f t="shared" si="5"/>
        <v>0011</v>
      </c>
      <c r="G74" s="69"/>
      <c r="H74" s="70">
        <v>372</v>
      </c>
      <c r="I74" s="70">
        <v>0</v>
      </c>
      <c r="J74" s="62">
        <f t="shared" si="6"/>
        <v>6762.96</v>
      </c>
      <c r="K74" s="62">
        <f t="shared" si="7"/>
        <v>372</v>
      </c>
      <c r="L74" s="62">
        <f t="shared" si="8"/>
        <v>372</v>
      </c>
      <c r="M74" s="63">
        <f t="shared" si="9"/>
        <v>6762.96</v>
      </c>
    </row>
    <row r="75" spans="1:13" s="64" customFormat="1" ht="16.5" hidden="1" customHeight="1" x14ac:dyDescent="0.2">
      <c r="A75" s="56" t="s">
        <v>169</v>
      </c>
      <c r="B75" s="56" t="s">
        <v>170</v>
      </c>
      <c r="C75" s="57" t="s">
        <v>16</v>
      </c>
      <c r="D75" s="58">
        <v>101.99</v>
      </c>
      <c r="E75" s="58" t="s">
        <v>11</v>
      </c>
      <c r="F75" s="59" t="str">
        <f t="shared" si="5"/>
        <v>0011</v>
      </c>
      <c r="G75" s="60"/>
      <c r="H75" s="61">
        <v>2947</v>
      </c>
      <c r="I75" s="61">
        <v>3013</v>
      </c>
      <c r="J75" s="62">
        <f t="shared" si="6"/>
        <v>300564.52999999997</v>
      </c>
      <c r="K75" s="62">
        <f t="shared" si="7"/>
        <v>-66</v>
      </c>
      <c r="L75" s="62">
        <f t="shared" si="8"/>
        <v>-66</v>
      </c>
      <c r="M75" s="63">
        <f t="shared" si="9"/>
        <v>-6731.3399999999992</v>
      </c>
    </row>
    <row r="76" spans="1:13" s="64" customFormat="1" ht="16.5" hidden="1" customHeight="1" x14ac:dyDescent="0.2">
      <c r="A76" s="56" t="s">
        <v>214</v>
      </c>
      <c r="B76" s="56" t="s">
        <v>215</v>
      </c>
      <c r="C76" s="57" t="s">
        <v>20</v>
      </c>
      <c r="D76" s="58">
        <v>15.11</v>
      </c>
      <c r="E76" s="58" t="s">
        <v>11</v>
      </c>
      <c r="F76" s="59" t="str">
        <f t="shared" si="5"/>
        <v>0011</v>
      </c>
      <c r="G76" s="60"/>
      <c r="H76" s="61">
        <v>0</v>
      </c>
      <c r="I76" s="61">
        <v>437</v>
      </c>
      <c r="J76" s="62">
        <f t="shared" si="6"/>
        <v>0</v>
      </c>
      <c r="K76" s="62">
        <f t="shared" si="7"/>
        <v>-437</v>
      </c>
      <c r="L76" s="62">
        <f t="shared" si="8"/>
        <v>-437</v>
      </c>
      <c r="M76" s="63">
        <f t="shared" si="9"/>
        <v>-6603.07</v>
      </c>
    </row>
    <row r="77" spans="1:13" s="64" customFormat="1" ht="16.5" hidden="1" customHeight="1" x14ac:dyDescent="0.2">
      <c r="A77" s="56" t="s">
        <v>159</v>
      </c>
      <c r="B77" s="56" t="s">
        <v>160</v>
      </c>
      <c r="C77" s="57"/>
      <c r="D77" s="58">
        <v>95.05</v>
      </c>
      <c r="E77" s="58" t="s">
        <v>11</v>
      </c>
      <c r="F77" s="59" t="str">
        <f t="shared" si="5"/>
        <v>0011</v>
      </c>
      <c r="G77" s="60"/>
      <c r="H77" s="61">
        <v>0</v>
      </c>
      <c r="I77" s="61">
        <v>69</v>
      </c>
      <c r="J77" s="62">
        <f t="shared" si="6"/>
        <v>0</v>
      </c>
      <c r="K77" s="62">
        <f t="shared" si="7"/>
        <v>-69</v>
      </c>
      <c r="L77" s="62">
        <f t="shared" si="8"/>
        <v>-69</v>
      </c>
      <c r="M77" s="63">
        <f t="shared" si="9"/>
        <v>-6558.45</v>
      </c>
    </row>
    <row r="78" spans="1:13" s="64" customFormat="1" ht="16.5" hidden="1" customHeight="1" x14ac:dyDescent="0.2">
      <c r="A78" s="65" t="s">
        <v>326</v>
      </c>
      <c r="B78" s="65" t="s">
        <v>327</v>
      </c>
      <c r="C78" s="66" t="s">
        <v>676</v>
      </c>
      <c r="D78" s="67">
        <v>11.18</v>
      </c>
      <c r="E78" s="67" t="s">
        <v>11</v>
      </c>
      <c r="F78" s="68" t="str">
        <f t="shared" si="5"/>
        <v>0011</v>
      </c>
      <c r="G78" s="69"/>
      <c r="H78" s="70">
        <v>582</v>
      </c>
      <c r="I78" s="70">
        <v>0</v>
      </c>
      <c r="J78" s="62">
        <f t="shared" si="6"/>
        <v>6506.76</v>
      </c>
      <c r="K78" s="62">
        <f t="shared" si="7"/>
        <v>582</v>
      </c>
      <c r="L78" s="62">
        <f t="shared" si="8"/>
        <v>582</v>
      </c>
      <c r="M78" s="63">
        <f t="shared" si="9"/>
        <v>6506.76</v>
      </c>
    </row>
    <row r="79" spans="1:13" s="64" customFormat="1" ht="16.5" hidden="1" customHeight="1" x14ac:dyDescent="0.2">
      <c r="A79" s="56" t="s">
        <v>38</v>
      </c>
      <c r="B79" s="56" t="s">
        <v>39</v>
      </c>
      <c r="C79" s="57" t="s">
        <v>531</v>
      </c>
      <c r="D79" s="58">
        <v>2.95</v>
      </c>
      <c r="E79" s="58" t="s">
        <v>11</v>
      </c>
      <c r="F79" s="59" t="str">
        <f t="shared" si="5"/>
        <v>0011</v>
      </c>
      <c r="G79" s="60"/>
      <c r="H79" s="61">
        <v>5434</v>
      </c>
      <c r="I79" s="61">
        <v>3309</v>
      </c>
      <c r="J79" s="62">
        <f t="shared" si="6"/>
        <v>16030.300000000001</v>
      </c>
      <c r="K79" s="62">
        <f t="shared" si="7"/>
        <v>2125</v>
      </c>
      <c r="L79" s="62">
        <f t="shared" si="8"/>
        <v>2125</v>
      </c>
      <c r="M79" s="63">
        <f t="shared" si="9"/>
        <v>6268.75</v>
      </c>
    </row>
    <row r="80" spans="1:13" s="64" customFormat="1" ht="16.5" hidden="1" customHeight="1" x14ac:dyDescent="0.2">
      <c r="A80" s="56" t="s">
        <v>363</v>
      </c>
      <c r="B80" s="56" t="s">
        <v>75</v>
      </c>
      <c r="C80" s="57"/>
      <c r="D80" s="58">
        <v>7.85</v>
      </c>
      <c r="E80" s="58" t="s">
        <v>11</v>
      </c>
      <c r="F80" s="59" t="str">
        <f t="shared" si="5"/>
        <v>0011</v>
      </c>
      <c r="G80" s="60"/>
      <c r="H80" s="61">
        <v>2918</v>
      </c>
      <c r="I80" s="61">
        <v>2140</v>
      </c>
      <c r="J80" s="62">
        <f t="shared" si="6"/>
        <v>22906.3</v>
      </c>
      <c r="K80" s="62">
        <f t="shared" si="7"/>
        <v>778</v>
      </c>
      <c r="L80" s="62">
        <f t="shared" si="8"/>
        <v>778</v>
      </c>
      <c r="M80" s="63">
        <f t="shared" si="9"/>
        <v>6107.2999999999993</v>
      </c>
    </row>
    <row r="81" spans="1:13" s="64" customFormat="1" ht="16.5" hidden="1" customHeight="1" x14ac:dyDescent="0.2">
      <c r="A81" s="56" t="s">
        <v>23</v>
      </c>
      <c r="B81" s="56" t="s">
        <v>24</v>
      </c>
      <c r="C81" s="57" t="s">
        <v>501</v>
      </c>
      <c r="D81" s="58">
        <v>7.97</v>
      </c>
      <c r="E81" s="58" t="s">
        <v>11</v>
      </c>
      <c r="F81" s="59" t="str">
        <f t="shared" si="5"/>
        <v>0011</v>
      </c>
      <c r="G81" s="60"/>
      <c r="H81" s="61">
        <v>16128</v>
      </c>
      <c r="I81" s="61">
        <v>15430</v>
      </c>
      <c r="J81" s="62">
        <f t="shared" si="6"/>
        <v>128540.15999999999</v>
      </c>
      <c r="K81" s="62">
        <f t="shared" si="7"/>
        <v>698</v>
      </c>
      <c r="L81" s="62">
        <f t="shared" si="8"/>
        <v>698</v>
      </c>
      <c r="M81" s="63">
        <f t="shared" si="9"/>
        <v>5563.0599999999995</v>
      </c>
    </row>
    <row r="82" spans="1:13" s="64" customFormat="1" ht="16.5" hidden="1" customHeight="1" x14ac:dyDescent="0.2">
      <c r="A82" s="56" t="s">
        <v>105</v>
      </c>
      <c r="B82" s="56" t="s">
        <v>106</v>
      </c>
      <c r="C82" s="57" t="s">
        <v>516</v>
      </c>
      <c r="D82" s="58">
        <v>24.23</v>
      </c>
      <c r="E82" s="58" t="s">
        <v>11</v>
      </c>
      <c r="F82" s="59" t="str">
        <f t="shared" si="5"/>
        <v>0011</v>
      </c>
      <c r="G82" s="60"/>
      <c r="H82" s="61">
        <v>2736</v>
      </c>
      <c r="I82" s="61">
        <v>2508</v>
      </c>
      <c r="J82" s="62">
        <f t="shared" si="6"/>
        <v>66293.279999999999</v>
      </c>
      <c r="K82" s="62">
        <f t="shared" si="7"/>
        <v>228</v>
      </c>
      <c r="L82" s="62">
        <f t="shared" si="8"/>
        <v>228</v>
      </c>
      <c r="M82" s="63">
        <f t="shared" si="9"/>
        <v>5524.4400000000005</v>
      </c>
    </row>
    <row r="83" spans="1:13" s="64" customFormat="1" ht="16.5" hidden="1" customHeight="1" x14ac:dyDescent="0.2">
      <c r="A83" s="65" t="s">
        <v>239</v>
      </c>
      <c r="B83" s="65" t="s">
        <v>240</v>
      </c>
      <c r="C83" s="66" t="s">
        <v>243</v>
      </c>
      <c r="D83" s="67">
        <v>26.36</v>
      </c>
      <c r="E83" s="67" t="s">
        <v>11</v>
      </c>
      <c r="F83" s="68" t="str">
        <f t="shared" si="5"/>
        <v>0011</v>
      </c>
      <c r="G83" s="69"/>
      <c r="H83" s="70">
        <v>208</v>
      </c>
      <c r="I83" s="70">
        <v>0</v>
      </c>
      <c r="J83" s="62">
        <f t="shared" si="6"/>
        <v>5482.88</v>
      </c>
      <c r="K83" s="62">
        <f t="shared" si="7"/>
        <v>208</v>
      </c>
      <c r="L83" s="62">
        <f t="shared" si="8"/>
        <v>208</v>
      </c>
      <c r="M83" s="63">
        <f t="shared" si="9"/>
        <v>5482.88</v>
      </c>
    </row>
    <row r="84" spans="1:13" s="64" customFormat="1" ht="16.5" hidden="1" customHeight="1" x14ac:dyDescent="0.2">
      <c r="A84" s="56" t="s">
        <v>304</v>
      </c>
      <c r="B84" s="56" t="s">
        <v>305</v>
      </c>
      <c r="C84" s="57"/>
      <c r="D84" s="58">
        <v>10.86</v>
      </c>
      <c r="E84" s="58" t="s">
        <v>11</v>
      </c>
      <c r="F84" s="59" t="str">
        <f t="shared" si="5"/>
        <v>0011</v>
      </c>
      <c r="G84" s="60"/>
      <c r="H84" s="61">
        <v>0</v>
      </c>
      <c r="I84" s="61">
        <v>500</v>
      </c>
      <c r="J84" s="62">
        <f t="shared" si="6"/>
        <v>0</v>
      </c>
      <c r="K84" s="62">
        <f t="shared" si="7"/>
        <v>-500</v>
      </c>
      <c r="L84" s="62">
        <f t="shared" si="8"/>
        <v>-500</v>
      </c>
      <c r="M84" s="63">
        <f t="shared" si="9"/>
        <v>-5430</v>
      </c>
    </row>
    <row r="85" spans="1:13" s="64" customFormat="1" ht="16.5" hidden="1" customHeight="1" x14ac:dyDescent="0.2">
      <c r="A85" s="56" t="s">
        <v>220</v>
      </c>
      <c r="B85" s="56" t="s">
        <v>221</v>
      </c>
      <c r="C85" s="57" t="s">
        <v>482</v>
      </c>
      <c r="D85" s="58">
        <v>14.83</v>
      </c>
      <c r="E85" s="58" t="s">
        <v>11</v>
      </c>
      <c r="F85" s="59" t="str">
        <f t="shared" si="5"/>
        <v>0011</v>
      </c>
      <c r="G85" s="60"/>
      <c r="H85" s="61">
        <v>396</v>
      </c>
      <c r="I85" s="61">
        <v>756</v>
      </c>
      <c r="J85" s="62">
        <f t="shared" si="6"/>
        <v>5872.68</v>
      </c>
      <c r="K85" s="62">
        <f t="shared" si="7"/>
        <v>-360</v>
      </c>
      <c r="L85" s="62">
        <f t="shared" si="8"/>
        <v>-360</v>
      </c>
      <c r="M85" s="63">
        <f t="shared" si="9"/>
        <v>-5338.8</v>
      </c>
    </row>
    <row r="86" spans="1:13" s="64" customFormat="1" ht="16.5" hidden="1" customHeight="1" x14ac:dyDescent="0.2">
      <c r="A86" s="56" t="s">
        <v>232</v>
      </c>
      <c r="B86" s="56" t="s">
        <v>233</v>
      </c>
      <c r="C86" s="57" t="s">
        <v>489</v>
      </c>
      <c r="D86" s="58">
        <v>27.68</v>
      </c>
      <c r="E86" s="58" t="s">
        <v>11</v>
      </c>
      <c r="F86" s="59" t="str">
        <f t="shared" si="5"/>
        <v>0011</v>
      </c>
      <c r="G86" s="60"/>
      <c r="H86" s="61">
        <v>9680</v>
      </c>
      <c r="I86" s="61">
        <v>9490</v>
      </c>
      <c r="J86" s="62">
        <f t="shared" si="6"/>
        <v>267942.40000000002</v>
      </c>
      <c r="K86" s="62">
        <f t="shared" si="7"/>
        <v>190</v>
      </c>
      <c r="L86" s="62">
        <f t="shared" si="8"/>
        <v>190</v>
      </c>
      <c r="M86" s="63">
        <f t="shared" si="9"/>
        <v>5259.2</v>
      </c>
    </row>
    <row r="87" spans="1:13" s="64" customFormat="1" ht="16.5" hidden="1" customHeight="1" x14ac:dyDescent="0.2">
      <c r="A87" s="56" t="s">
        <v>263</v>
      </c>
      <c r="B87" s="56" t="s">
        <v>264</v>
      </c>
      <c r="C87" s="57" t="s">
        <v>265</v>
      </c>
      <c r="D87" s="58">
        <v>2.92</v>
      </c>
      <c r="E87" s="58" t="s">
        <v>11</v>
      </c>
      <c r="F87" s="59" t="str">
        <f t="shared" si="5"/>
        <v>0011</v>
      </c>
      <c r="G87" s="60"/>
      <c r="H87" s="61">
        <v>11809</v>
      </c>
      <c r="I87" s="61">
        <v>10072</v>
      </c>
      <c r="J87" s="62">
        <f t="shared" si="6"/>
        <v>34482.28</v>
      </c>
      <c r="K87" s="62">
        <f t="shared" si="7"/>
        <v>1737</v>
      </c>
      <c r="L87" s="62">
        <f t="shared" si="8"/>
        <v>1737</v>
      </c>
      <c r="M87" s="63">
        <f t="shared" si="9"/>
        <v>5072.04</v>
      </c>
    </row>
    <row r="88" spans="1:13" s="64" customFormat="1" ht="16.5" hidden="1" customHeight="1" x14ac:dyDescent="0.2">
      <c r="A88" s="56" t="s">
        <v>383</v>
      </c>
      <c r="B88" s="56" t="s">
        <v>384</v>
      </c>
      <c r="C88" s="57"/>
      <c r="D88" s="58">
        <v>112.27</v>
      </c>
      <c r="E88" s="58" t="s">
        <v>11</v>
      </c>
      <c r="F88" s="59" t="str">
        <f t="shared" si="5"/>
        <v>0011</v>
      </c>
      <c r="G88" s="60"/>
      <c r="H88" s="61">
        <v>0</v>
      </c>
      <c r="I88" s="61">
        <v>45</v>
      </c>
      <c r="J88" s="62">
        <f t="shared" si="6"/>
        <v>0</v>
      </c>
      <c r="K88" s="62">
        <f t="shared" si="7"/>
        <v>-45</v>
      </c>
      <c r="L88" s="62">
        <f t="shared" si="8"/>
        <v>-45</v>
      </c>
      <c r="M88" s="63">
        <f t="shared" si="9"/>
        <v>-5052.1499999999996</v>
      </c>
    </row>
    <row r="89" spans="1:13" s="64" customFormat="1" ht="16.5" hidden="1" customHeight="1" x14ac:dyDescent="0.2">
      <c r="A89" s="65" t="s">
        <v>383</v>
      </c>
      <c r="B89" s="65" t="s">
        <v>384</v>
      </c>
      <c r="C89" s="66" t="s">
        <v>16</v>
      </c>
      <c r="D89" s="67">
        <v>112.27</v>
      </c>
      <c r="E89" s="67" t="s">
        <v>11</v>
      </c>
      <c r="F89" s="68" t="str">
        <f t="shared" si="5"/>
        <v>0011</v>
      </c>
      <c r="G89" s="69"/>
      <c r="H89" s="70">
        <v>45</v>
      </c>
      <c r="I89" s="70">
        <v>0</v>
      </c>
      <c r="J89" s="62">
        <f t="shared" si="6"/>
        <v>5052.1499999999996</v>
      </c>
      <c r="K89" s="62">
        <f t="shared" si="7"/>
        <v>45</v>
      </c>
      <c r="L89" s="62">
        <f t="shared" si="8"/>
        <v>45</v>
      </c>
      <c r="M89" s="63">
        <f t="shared" si="9"/>
        <v>5052.1499999999996</v>
      </c>
    </row>
    <row r="90" spans="1:13" s="64" customFormat="1" ht="16.5" hidden="1" customHeight="1" x14ac:dyDescent="0.2">
      <c r="A90" s="65" t="s">
        <v>232</v>
      </c>
      <c r="B90" s="65" t="s">
        <v>233</v>
      </c>
      <c r="C90" s="66" t="s">
        <v>636</v>
      </c>
      <c r="D90" s="67">
        <v>27.68</v>
      </c>
      <c r="E90" s="67" t="s">
        <v>11</v>
      </c>
      <c r="F90" s="68" t="str">
        <f t="shared" si="5"/>
        <v>0011</v>
      </c>
      <c r="G90" s="69"/>
      <c r="H90" s="70">
        <v>181</v>
      </c>
      <c r="I90" s="70">
        <v>0</v>
      </c>
      <c r="J90" s="62">
        <f t="shared" si="6"/>
        <v>5010.08</v>
      </c>
      <c r="K90" s="62">
        <f t="shared" si="7"/>
        <v>181</v>
      </c>
      <c r="L90" s="62">
        <f t="shared" si="8"/>
        <v>181</v>
      </c>
      <c r="M90" s="63">
        <f t="shared" si="9"/>
        <v>5010.08</v>
      </c>
    </row>
    <row r="91" spans="1:13" s="64" customFormat="1" ht="16.5" hidden="1" customHeight="1" x14ac:dyDescent="0.2">
      <c r="A91" s="56" t="s">
        <v>47</v>
      </c>
      <c r="B91" s="56" t="s">
        <v>48</v>
      </c>
      <c r="C91" s="57" t="s">
        <v>548</v>
      </c>
      <c r="D91" s="58">
        <v>21.87</v>
      </c>
      <c r="E91" s="58" t="s">
        <v>11</v>
      </c>
      <c r="F91" s="59" t="str">
        <f t="shared" si="5"/>
        <v>0011</v>
      </c>
      <c r="G91" s="60"/>
      <c r="H91" s="61">
        <v>67</v>
      </c>
      <c r="I91" s="61">
        <v>291</v>
      </c>
      <c r="J91" s="62">
        <f t="shared" si="6"/>
        <v>1465.29</v>
      </c>
      <c r="K91" s="62">
        <f t="shared" si="7"/>
        <v>-224</v>
      </c>
      <c r="L91" s="62">
        <f t="shared" si="8"/>
        <v>-224</v>
      </c>
      <c r="M91" s="63">
        <f t="shared" si="9"/>
        <v>-4898.88</v>
      </c>
    </row>
    <row r="92" spans="1:13" s="64" customFormat="1" ht="16.5" hidden="1" customHeight="1" x14ac:dyDescent="0.2">
      <c r="A92" s="65" t="s">
        <v>42</v>
      </c>
      <c r="B92" s="65" t="s">
        <v>43</v>
      </c>
      <c r="C92" s="66" t="s">
        <v>255</v>
      </c>
      <c r="D92" s="67">
        <v>2.97</v>
      </c>
      <c r="E92" s="67" t="s">
        <v>11</v>
      </c>
      <c r="F92" s="68" t="str">
        <f t="shared" si="5"/>
        <v>0011</v>
      </c>
      <c r="G92" s="69"/>
      <c r="H92" s="70">
        <v>1638</v>
      </c>
      <c r="I92" s="70">
        <v>0</v>
      </c>
      <c r="J92" s="62">
        <f t="shared" si="6"/>
        <v>4864.8600000000006</v>
      </c>
      <c r="K92" s="62">
        <f t="shared" si="7"/>
        <v>1638</v>
      </c>
      <c r="L92" s="62">
        <f t="shared" si="8"/>
        <v>1638</v>
      </c>
      <c r="M92" s="63">
        <f t="shared" si="9"/>
        <v>4864.8600000000006</v>
      </c>
    </row>
    <row r="93" spans="1:13" s="64" customFormat="1" ht="16.5" hidden="1" customHeight="1" x14ac:dyDescent="0.2">
      <c r="A93" s="65" t="s">
        <v>314</v>
      </c>
      <c r="B93" s="65" t="s">
        <v>315</v>
      </c>
      <c r="C93" s="66" t="s">
        <v>16</v>
      </c>
      <c r="D93" s="67">
        <v>50.93</v>
      </c>
      <c r="E93" s="67" t="s">
        <v>11</v>
      </c>
      <c r="F93" s="68" t="str">
        <f t="shared" si="5"/>
        <v>0011</v>
      </c>
      <c r="G93" s="69"/>
      <c r="H93" s="70">
        <v>92</v>
      </c>
      <c r="I93" s="70">
        <v>0</v>
      </c>
      <c r="J93" s="62">
        <f t="shared" si="6"/>
        <v>4685.5600000000004</v>
      </c>
      <c r="K93" s="62">
        <f t="shared" si="7"/>
        <v>92</v>
      </c>
      <c r="L93" s="62">
        <f t="shared" si="8"/>
        <v>92</v>
      </c>
      <c r="M93" s="63">
        <f t="shared" si="9"/>
        <v>4685.5600000000004</v>
      </c>
    </row>
    <row r="94" spans="1:13" s="64" customFormat="1" ht="16.5" hidden="1" customHeight="1" x14ac:dyDescent="0.2">
      <c r="A94" s="56" t="s">
        <v>314</v>
      </c>
      <c r="B94" s="56" t="s">
        <v>315</v>
      </c>
      <c r="C94" s="57"/>
      <c r="D94" s="58">
        <v>50.93</v>
      </c>
      <c r="E94" s="58" t="s">
        <v>293</v>
      </c>
      <c r="F94" s="59" t="str">
        <f t="shared" si="5"/>
        <v>0011</v>
      </c>
      <c r="G94" s="60"/>
      <c r="H94" s="61">
        <v>0</v>
      </c>
      <c r="I94" s="61">
        <v>90</v>
      </c>
      <c r="J94" s="62">
        <f t="shared" si="6"/>
        <v>0</v>
      </c>
      <c r="K94" s="62">
        <f t="shared" si="7"/>
        <v>-90</v>
      </c>
      <c r="L94" s="62">
        <f t="shared" si="8"/>
        <v>-90</v>
      </c>
      <c r="M94" s="63">
        <f t="shared" si="9"/>
        <v>-4583.7</v>
      </c>
    </row>
    <row r="95" spans="1:13" s="64" customFormat="1" ht="16.5" hidden="1" customHeight="1" x14ac:dyDescent="0.2">
      <c r="A95" s="56" t="s">
        <v>611</v>
      </c>
      <c r="B95" s="56" t="s">
        <v>612</v>
      </c>
      <c r="C95" s="57"/>
      <c r="D95" s="58">
        <v>38.119999999999997</v>
      </c>
      <c r="E95" s="58" t="s">
        <v>11</v>
      </c>
      <c r="F95" s="59" t="str">
        <f t="shared" si="5"/>
        <v>0011</v>
      </c>
      <c r="G95" s="60"/>
      <c r="H95" s="61">
        <v>0</v>
      </c>
      <c r="I95" s="61">
        <v>120</v>
      </c>
      <c r="J95" s="62">
        <f t="shared" si="6"/>
        <v>0</v>
      </c>
      <c r="K95" s="62">
        <f t="shared" si="7"/>
        <v>-120</v>
      </c>
      <c r="L95" s="62">
        <f t="shared" si="8"/>
        <v>-120</v>
      </c>
      <c r="M95" s="63">
        <f t="shared" si="9"/>
        <v>-4574.3999999999996</v>
      </c>
    </row>
    <row r="96" spans="1:13" s="64" customFormat="1" ht="16.5" hidden="1" customHeight="1" x14ac:dyDescent="0.2">
      <c r="A96" s="56" t="s">
        <v>185</v>
      </c>
      <c r="B96" s="56" t="s">
        <v>186</v>
      </c>
      <c r="C96" s="57" t="s">
        <v>16</v>
      </c>
      <c r="D96" s="58">
        <v>142.63</v>
      </c>
      <c r="E96" s="58" t="s">
        <v>11</v>
      </c>
      <c r="F96" s="59" t="str">
        <f t="shared" si="5"/>
        <v>0011</v>
      </c>
      <c r="G96" s="60"/>
      <c r="H96" s="61">
        <v>910</v>
      </c>
      <c r="I96" s="61">
        <v>880</v>
      </c>
      <c r="J96" s="62">
        <f t="shared" si="6"/>
        <v>129793.3</v>
      </c>
      <c r="K96" s="62">
        <f t="shared" si="7"/>
        <v>30</v>
      </c>
      <c r="L96" s="62">
        <f t="shared" si="8"/>
        <v>30</v>
      </c>
      <c r="M96" s="63">
        <f t="shared" si="9"/>
        <v>4278.8999999999996</v>
      </c>
    </row>
    <row r="97" spans="1:13" s="64" customFormat="1" ht="16.5" hidden="1" customHeight="1" x14ac:dyDescent="0.2">
      <c r="A97" s="56" t="s">
        <v>55</v>
      </c>
      <c r="B97" s="56" t="s">
        <v>56</v>
      </c>
      <c r="C97" s="57" t="s">
        <v>573</v>
      </c>
      <c r="D97" s="58">
        <v>3.32</v>
      </c>
      <c r="E97" s="58" t="s">
        <v>11</v>
      </c>
      <c r="F97" s="59" t="str">
        <f t="shared" si="5"/>
        <v>0011</v>
      </c>
      <c r="G97" s="60"/>
      <c r="H97" s="61">
        <v>10548</v>
      </c>
      <c r="I97" s="61">
        <v>11836</v>
      </c>
      <c r="J97" s="62">
        <f t="shared" si="6"/>
        <v>35019.360000000001</v>
      </c>
      <c r="K97" s="62">
        <f t="shared" si="7"/>
        <v>-1288</v>
      </c>
      <c r="L97" s="62">
        <f t="shared" si="8"/>
        <v>-1288</v>
      </c>
      <c r="M97" s="63">
        <f t="shared" si="9"/>
        <v>-4276.16</v>
      </c>
    </row>
    <row r="98" spans="1:13" s="64" customFormat="1" ht="16.5" hidden="1" customHeight="1" x14ac:dyDescent="0.2">
      <c r="A98" s="56" t="s">
        <v>337</v>
      </c>
      <c r="B98" s="56" t="s">
        <v>338</v>
      </c>
      <c r="C98" s="57"/>
      <c r="D98" s="58">
        <v>504.55</v>
      </c>
      <c r="E98" s="58" t="s">
        <v>11</v>
      </c>
      <c r="F98" s="59" t="str">
        <f t="shared" si="5"/>
        <v>0011</v>
      </c>
      <c r="G98" s="60"/>
      <c r="H98" s="61">
        <v>0</v>
      </c>
      <c r="I98" s="61">
        <v>8</v>
      </c>
      <c r="J98" s="62">
        <f t="shared" si="6"/>
        <v>0</v>
      </c>
      <c r="K98" s="62">
        <f t="shared" si="7"/>
        <v>-8</v>
      </c>
      <c r="L98" s="62">
        <f t="shared" si="8"/>
        <v>-8</v>
      </c>
      <c r="M98" s="63">
        <f t="shared" si="9"/>
        <v>-4036.4</v>
      </c>
    </row>
    <row r="99" spans="1:13" s="64" customFormat="1" ht="16.5" hidden="1" customHeight="1" x14ac:dyDescent="0.2">
      <c r="A99" s="56" t="s">
        <v>361</v>
      </c>
      <c r="B99" s="56" t="s">
        <v>362</v>
      </c>
      <c r="C99" s="57"/>
      <c r="D99" s="58">
        <v>36.79</v>
      </c>
      <c r="E99" s="58" t="s">
        <v>11</v>
      </c>
      <c r="F99" s="59" t="str">
        <f t="shared" si="5"/>
        <v>0011</v>
      </c>
      <c r="G99" s="60"/>
      <c r="H99" s="61">
        <v>0</v>
      </c>
      <c r="I99" s="61">
        <v>108</v>
      </c>
      <c r="J99" s="62">
        <f t="shared" si="6"/>
        <v>0</v>
      </c>
      <c r="K99" s="62">
        <f t="shared" si="7"/>
        <v>-108</v>
      </c>
      <c r="L99" s="62">
        <f t="shared" si="8"/>
        <v>-108</v>
      </c>
      <c r="M99" s="63">
        <f t="shared" si="9"/>
        <v>-3973.3199999999997</v>
      </c>
    </row>
    <row r="100" spans="1:13" s="64" customFormat="1" ht="16.5" hidden="1" customHeight="1" x14ac:dyDescent="0.2">
      <c r="A100" s="65" t="s">
        <v>133</v>
      </c>
      <c r="B100" s="65" t="s">
        <v>129</v>
      </c>
      <c r="C100" s="66" t="s">
        <v>519</v>
      </c>
      <c r="D100" s="67">
        <v>10.199999999999999</v>
      </c>
      <c r="E100" s="67" t="s">
        <v>11</v>
      </c>
      <c r="F100" s="68" t="str">
        <f t="shared" si="5"/>
        <v>0011</v>
      </c>
      <c r="G100" s="69"/>
      <c r="H100" s="70">
        <v>389</v>
      </c>
      <c r="I100" s="70">
        <v>0</v>
      </c>
      <c r="J100" s="62">
        <f t="shared" si="6"/>
        <v>3967.7999999999997</v>
      </c>
      <c r="K100" s="62">
        <f t="shared" si="7"/>
        <v>389</v>
      </c>
      <c r="L100" s="62">
        <f t="shared" si="8"/>
        <v>389</v>
      </c>
      <c r="M100" s="63">
        <f t="shared" si="9"/>
        <v>3967.7999999999997</v>
      </c>
    </row>
    <row r="101" spans="1:13" s="64" customFormat="1" ht="16.5" hidden="1" customHeight="1" x14ac:dyDescent="0.2">
      <c r="A101" s="56" t="s">
        <v>35</v>
      </c>
      <c r="B101" s="56" t="s">
        <v>36</v>
      </c>
      <c r="C101" s="57" t="s">
        <v>524</v>
      </c>
      <c r="D101" s="58">
        <v>2.97</v>
      </c>
      <c r="E101" s="58" t="s">
        <v>11</v>
      </c>
      <c r="F101" s="59" t="str">
        <f t="shared" si="5"/>
        <v>0011</v>
      </c>
      <c r="G101" s="60"/>
      <c r="H101" s="61">
        <v>5457</v>
      </c>
      <c r="I101" s="61">
        <v>4149</v>
      </c>
      <c r="J101" s="62">
        <f t="shared" si="6"/>
        <v>16207.29</v>
      </c>
      <c r="K101" s="62">
        <f t="shared" si="7"/>
        <v>1308</v>
      </c>
      <c r="L101" s="62">
        <f t="shared" si="8"/>
        <v>1308</v>
      </c>
      <c r="M101" s="63">
        <f t="shared" si="9"/>
        <v>3884.76</v>
      </c>
    </row>
    <row r="102" spans="1:13" s="64" customFormat="1" ht="16.5" hidden="1" customHeight="1" x14ac:dyDescent="0.2">
      <c r="A102" s="65" t="s">
        <v>55</v>
      </c>
      <c r="B102" s="65" t="s">
        <v>56</v>
      </c>
      <c r="C102" s="66" t="s">
        <v>661</v>
      </c>
      <c r="D102" s="67">
        <v>3.32</v>
      </c>
      <c r="E102" s="67" t="s">
        <v>11</v>
      </c>
      <c r="F102" s="68" t="str">
        <f t="shared" si="5"/>
        <v>0011</v>
      </c>
      <c r="G102" s="69"/>
      <c r="H102" s="70">
        <v>1163</v>
      </c>
      <c r="I102" s="70">
        <v>0</v>
      </c>
      <c r="J102" s="62">
        <f t="shared" si="6"/>
        <v>3861.16</v>
      </c>
      <c r="K102" s="62">
        <f t="shared" si="7"/>
        <v>1163</v>
      </c>
      <c r="L102" s="62">
        <f t="shared" si="8"/>
        <v>1163</v>
      </c>
      <c r="M102" s="63">
        <f t="shared" si="9"/>
        <v>3861.16</v>
      </c>
    </row>
    <row r="103" spans="1:13" s="64" customFormat="1" ht="16.5" hidden="1" customHeight="1" x14ac:dyDescent="0.2">
      <c r="A103" s="56" t="s">
        <v>49</v>
      </c>
      <c r="B103" s="56" t="s">
        <v>50</v>
      </c>
      <c r="C103" s="57" t="s">
        <v>553</v>
      </c>
      <c r="D103" s="58">
        <v>21.81</v>
      </c>
      <c r="E103" s="58" t="s">
        <v>11</v>
      </c>
      <c r="F103" s="59" t="str">
        <f t="shared" si="5"/>
        <v>0011</v>
      </c>
      <c r="G103" s="60"/>
      <c r="H103" s="61">
        <v>250</v>
      </c>
      <c r="I103" s="61">
        <v>75</v>
      </c>
      <c r="J103" s="62">
        <f t="shared" si="6"/>
        <v>5452.5</v>
      </c>
      <c r="K103" s="62">
        <f t="shared" si="7"/>
        <v>175</v>
      </c>
      <c r="L103" s="62">
        <f t="shared" si="8"/>
        <v>175</v>
      </c>
      <c r="M103" s="63">
        <f t="shared" si="9"/>
        <v>3816.75</v>
      </c>
    </row>
    <row r="104" spans="1:13" s="64" customFormat="1" ht="16.5" hidden="1" customHeight="1" x14ac:dyDescent="0.2">
      <c r="A104" s="56" t="s">
        <v>217</v>
      </c>
      <c r="B104" s="56" t="s">
        <v>218</v>
      </c>
      <c r="C104" s="57" t="s">
        <v>219</v>
      </c>
      <c r="D104" s="58">
        <v>13.96</v>
      </c>
      <c r="E104" s="58" t="s">
        <v>11</v>
      </c>
      <c r="F104" s="59" t="str">
        <f t="shared" si="5"/>
        <v>0011</v>
      </c>
      <c r="G104" s="60"/>
      <c r="H104" s="61">
        <v>600</v>
      </c>
      <c r="I104" s="61">
        <v>332</v>
      </c>
      <c r="J104" s="62">
        <f t="shared" si="6"/>
        <v>8376</v>
      </c>
      <c r="K104" s="62">
        <f t="shared" si="7"/>
        <v>268</v>
      </c>
      <c r="L104" s="62">
        <f t="shared" si="8"/>
        <v>268</v>
      </c>
      <c r="M104" s="63">
        <f t="shared" si="9"/>
        <v>3741.28</v>
      </c>
    </row>
    <row r="105" spans="1:13" s="64" customFormat="1" ht="16.5" hidden="1" customHeight="1" x14ac:dyDescent="0.2">
      <c r="A105" s="56" t="s">
        <v>40</v>
      </c>
      <c r="B105" s="56" t="s">
        <v>41</v>
      </c>
      <c r="C105" s="57" t="s">
        <v>536</v>
      </c>
      <c r="D105" s="58">
        <v>2.91</v>
      </c>
      <c r="E105" s="58" t="s">
        <v>11</v>
      </c>
      <c r="F105" s="59" t="str">
        <f t="shared" si="5"/>
        <v>0011</v>
      </c>
      <c r="G105" s="60"/>
      <c r="H105" s="61">
        <v>6620</v>
      </c>
      <c r="I105" s="61">
        <v>5339</v>
      </c>
      <c r="J105" s="62">
        <f t="shared" si="6"/>
        <v>19264.2</v>
      </c>
      <c r="K105" s="62">
        <f t="shared" si="7"/>
        <v>1281</v>
      </c>
      <c r="L105" s="62">
        <f t="shared" si="8"/>
        <v>1281</v>
      </c>
      <c r="M105" s="63">
        <f t="shared" si="9"/>
        <v>3727.71</v>
      </c>
    </row>
    <row r="106" spans="1:13" s="64" customFormat="1" ht="16.5" hidden="1" customHeight="1" x14ac:dyDescent="0.2">
      <c r="A106" s="56" t="s">
        <v>23</v>
      </c>
      <c r="B106" s="56" t="s">
        <v>24</v>
      </c>
      <c r="C106" s="57" t="s">
        <v>96</v>
      </c>
      <c r="D106" s="58">
        <v>7.97</v>
      </c>
      <c r="E106" s="58" t="s">
        <v>11</v>
      </c>
      <c r="F106" s="59" t="str">
        <f t="shared" si="5"/>
        <v>0011</v>
      </c>
      <c r="G106" s="60"/>
      <c r="H106" s="61">
        <v>0</v>
      </c>
      <c r="I106" s="61">
        <v>464</v>
      </c>
      <c r="J106" s="62">
        <f t="shared" si="6"/>
        <v>0</v>
      </c>
      <c r="K106" s="62">
        <f t="shared" si="7"/>
        <v>-464</v>
      </c>
      <c r="L106" s="62">
        <f t="shared" si="8"/>
        <v>-464</v>
      </c>
      <c r="M106" s="63">
        <f t="shared" si="9"/>
        <v>-3698.08</v>
      </c>
    </row>
    <row r="107" spans="1:13" s="64" customFormat="1" ht="16.5" hidden="1" customHeight="1" x14ac:dyDescent="0.2">
      <c r="A107" s="56" t="s">
        <v>306</v>
      </c>
      <c r="B107" s="56" t="s">
        <v>307</v>
      </c>
      <c r="C107" s="57"/>
      <c r="D107" s="58">
        <v>227.56</v>
      </c>
      <c r="E107" s="58" t="s">
        <v>11</v>
      </c>
      <c r="F107" s="59" t="str">
        <f t="shared" si="5"/>
        <v>0011</v>
      </c>
      <c r="G107" s="60"/>
      <c r="H107" s="61">
        <v>0</v>
      </c>
      <c r="I107" s="61">
        <v>16</v>
      </c>
      <c r="J107" s="62">
        <f t="shared" si="6"/>
        <v>0</v>
      </c>
      <c r="K107" s="62">
        <f t="shared" si="7"/>
        <v>-16</v>
      </c>
      <c r="L107" s="62">
        <f t="shared" si="8"/>
        <v>-16</v>
      </c>
      <c r="M107" s="63">
        <f t="shared" si="9"/>
        <v>-3640.96</v>
      </c>
    </row>
    <row r="108" spans="1:13" s="64" customFormat="1" ht="16.5" hidden="1" customHeight="1" x14ac:dyDescent="0.2">
      <c r="A108" s="65" t="s">
        <v>306</v>
      </c>
      <c r="B108" s="65" t="s">
        <v>307</v>
      </c>
      <c r="C108" s="66" t="s">
        <v>16</v>
      </c>
      <c r="D108" s="67">
        <v>227.56</v>
      </c>
      <c r="E108" s="67" t="s">
        <v>11</v>
      </c>
      <c r="F108" s="68" t="str">
        <f t="shared" si="5"/>
        <v>0011</v>
      </c>
      <c r="G108" s="69"/>
      <c r="H108" s="70">
        <v>16</v>
      </c>
      <c r="I108" s="70">
        <v>0</v>
      </c>
      <c r="J108" s="62">
        <f t="shared" si="6"/>
        <v>3640.96</v>
      </c>
      <c r="K108" s="62">
        <f t="shared" si="7"/>
        <v>16</v>
      </c>
      <c r="L108" s="62">
        <f t="shared" si="8"/>
        <v>16</v>
      </c>
      <c r="M108" s="63">
        <f t="shared" si="9"/>
        <v>3640.96</v>
      </c>
    </row>
    <row r="109" spans="1:13" s="64" customFormat="1" ht="16.5" hidden="1" customHeight="1" x14ac:dyDescent="0.2">
      <c r="A109" s="56" t="s">
        <v>25</v>
      </c>
      <c r="B109" s="56" t="s">
        <v>26</v>
      </c>
      <c r="C109" s="57" t="s">
        <v>27</v>
      </c>
      <c r="D109" s="58">
        <v>6.78</v>
      </c>
      <c r="E109" s="58" t="s">
        <v>11</v>
      </c>
      <c r="F109" s="59" t="str">
        <f t="shared" si="5"/>
        <v>0011</v>
      </c>
      <c r="G109" s="60"/>
      <c r="H109" s="61">
        <v>9888</v>
      </c>
      <c r="I109" s="61">
        <v>9360</v>
      </c>
      <c r="J109" s="62">
        <f t="shared" si="6"/>
        <v>67040.639999999999</v>
      </c>
      <c r="K109" s="62">
        <f t="shared" si="7"/>
        <v>528</v>
      </c>
      <c r="L109" s="62">
        <f t="shared" si="8"/>
        <v>528</v>
      </c>
      <c r="M109" s="63">
        <f t="shared" si="9"/>
        <v>3579.84</v>
      </c>
    </row>
    <row r="110" spans="1:13" s="64" customFormat="1" ht="16.5" hidden="1" customHeight="1" x14ac:dyDescent="0.2">
      <c r="A110" s="56" t="s">
        <v>217</v>
      </c>
      <c r="B110" s="56" t="s">
        <v>218</v>
      </c>
      <c r="C110" s="57" t="s">
        <v>480</v>
      </c>
      <c r="D110" s="58">
        <v>13.96</v>
      </c>
      <c r="E110" s="58" t="s">
        <v>11</v>
      </c>
      <c r="F110" s="59" t="str">
        <f t="shared" si="5"/>
        <v>0011</v>
      </c>
      <c r="G110" s="60"/>
      <c r="H110" s="61">
        <v>888</v>
      </c>
      <c r="I110" s="61">
        <v>1140</v>
      </c>
      <c r="J110" s="62">
        <f t="shared" si="6"/>
        <v>12396.480000000001</v>
      </c>
      <c r="K110" s="62">
        <f t="shared" si="7"/>
        <v>-252</v>
      </c>
      <c r="L110" s="62">
        <f t="shared" si="8"/>
        <v>-252</v>
      </c>
      <c r="M110" s="63">
        <f t="shared" si="9"/>
        <v>-3517.92</v>
      </c>
    </row>
    <row r="111" spans="1:13" s="64" customFormat="1" ht="16.5" hidden="1" customHeight="1" x14ac:dyDescent="0.2">
      <c r="A111" s="56" t="s">
        <v>189</v>
      </c>
      <c r="B111" s="56" t="s">
        <v>190</v>
      </c>
      <c r="C111" s="57" t="s">
        <v>16</v>
      </c>
      <c r="D111" s="58">
        <v>142.63</v>
      </c>
      <c r="E111" s="58" t="s">
        <v>11</v>
      </c>
      <c r="F111" s="59" t="str">
        <f t="shared" si="5"/>
        <v>0011</v>
      </c>
      <c r="G111" s="60"/>
      <c r="H111" s="61">
        <v>727</v>
      </c>
      <c r="I111" s="61">
        <v>703</v>
      </c>
      <c r="J111" s="62">
        <f t="shared" si="6"/>
        <v>103692.01</v>
      </c>
      <c r="K111" s="62">
        <f t="shared" si="7"/>
        <v>24</v>
      </c>
      <c r="L111" s="62">
        <f t="shared" si="8"/>
        <v>24</v>
      </c>
      <c r="M111" s="63">
        <f t="shared" si="9"/>
        <v>3423.12</v>
      </c>
    </row>
    <row r="112" spans="1:13" s="64" customFormat="1" ht="16.5" hidden="1" customHeight="1" x14ac:dyDescent="0.2">
      <c r="A112" s="56" t="s">
        <v>133</v>
      </c>
      <c r="B112" s="56" t="s">
        <v>129</v>
      </c>
      <c r="C112" s="57" t="s">
        <v>584</v>
      </c>
      <c r="D112" s="58">
        <v>10.199999999999999</v>
      </c>
      <c r="E112" s="58" t="s">
        <v>11</v>
      </c>
      <c r="F112" s="59" t="str">
        <f t="shared" si="5"/>
        <v>0011</v>
      </c>
      <c r="G112" s="60"/>
      <c r="H112" s="61">
        <v>4710</v>
      </c>
      <c r="I112" s="61">
        <v>4377</v>
      </c>
      <c r="J112" s="62">
        <f t="shared" si="6"/>
        <v>48042</v>
      </c>
      <c r="K112" s="62">
        <f t="shared" si="7"/>
        <v>333</v>
      </c>
      <c r="L112" s="62">
        <f t="shared" si="8"/>
        <v>333</v>
      </c>
      <c r="M112" s="63">
        <f t="shared" si="9"/>
        <v>3396.6</v>
      </c>
    </row>
    <row r="113" spans="1:13" s="64" customFormat="1" ht="16.5" hidden="1" customHeight="1" x14ac:dyDescent="0.2">
      <c r="A113" s="56" t="s">
        <v>450</v>
      </c>
      <c r="B113" s="56" t="s">
        <v>451</v>
      </c>
      <c r="C113" s="57"/>
      <c r="D113" s="58">
        <v>30.18</v>
      </c>
      <c r="E113" s="58" t="s">
        <v>11</v>
      </c>
      <c r="F113" s="59" t="str">
        <f t="shared" si="5"/>
        <v>0011</v>
      </c>
      <c r="G113" s="60"/>
      <c r="H113" s="61">
        <v>0</v>
      </c>
      <c r="I113" s="61">
        <v>112</v>
      </c>
      <c r="J113" s="62">
        <f t="shared" si="6"/>
        <v>0</v>
      </c>
      <c r="K113" s="62">
        <f t="shared" si="7"/>
        <v>-112</v>
      </c>
      <c r="L113" s="62">
        <f t="shared" si="8"/>
        <v>-112</v>
      </c>
      <c r="M113" s="63">
        <f t="shared" si="9"/>
        <v>-3380.16</v>
      </c>
    </row>
    <row r="114" spans="1:13" s="64" customFormat="1" ht="16.5" hidden="1" customHeight="1" x14ac:dyDescent="0.2">
      <c r="A114" s="65" t="s">
        <v>229</v>
      </c>
      <c r="B114" s="65" t="s">
        <v>230</v>
      </c>
      <c r="C114" s="66" t="s">
        <v>200</v>
      </c>
      <c r="D114" s="67">
        <v>9.83</v>
      </c>
      <c r="E114" s="67" t="s">
        <v>11</v>
      </c>
      <c r="F114" s="68" t="str">
        <f t="shared" si="5"/>
        <v>0011</v>
      </c>
      <c r="G114" s="69"/>
      <c r="H114" s="70">
        <v>342</v>
      </c>
      <c r="I114" s="70">
        <v>0</v>
      </c>
      <c r="J114" s="62">
        <f t="shared" si="6"/>
        <v>3361.86</v>
      </c>
      <c r="K114" s="62">
        <f t="shared" si="7"/>
        <v>342</v>
      </c>
      <c r="L114" s="62">
        <f t="shared" si="8"/>
        <v>342</v>
      </c>
      <c r="M114" s="63">
        <f t="shared" si="9"/>
        <v>3361.86</v>
      </c>
    </row>
    <row r="115" spans="1:13" s="64" customFormat="1" ht="16.5" hidden="1" customHeight="1" x14ac:dyDescent="0.2">
      <c r="A115" s="65" t="s">
        <v>232</v>
      </c>
      <c r="B115" s="65" t="s">
        <v>233</v>
      </c>
      <c r="C115" s="66" t="s">
        <v>234</v>
      </c>
      <c r="D115" s="67">
        <v>27.68</v>
      </c>
      <c r="E115" s="67" t="s">
        <v>11</v>
      </c>
      <c r="F115" s="68" t="str">
        <f t="shared" si="5"/>
        <v>0011</v>
      </c>
      <c r="G115" s="69"/>
      <c r="H115" s="70">
        <v>120</v>
      </c>
      <c r="I115" s="70">
        <v>0</v>
      </c>
      <c r="J115" s="62">
        <f t="shared" si="6"/>
        <v>3321.6</v>
      </c>
      <c r="K115" s="62">
        <f t="shared" si="7"/>
        <v>120</v>
      </c>
      <c r="L115" s="62">
        <f t="shared" si="8"/>
        <v>120</v>
      </c>
      <c r="M115" s="63">
        <f t="shared" si="9"/>
        <v>3321.6</v>
      </c>
    </row>
    <row r="116" spans="1:13" s="64" customFormat="1" ht="16.5" hidden="1" customHeight="1" x14ac:dyDescent="0.2">
      <c r="A116" s="56" t="s">
        <v>49</v>
      </c>
      <c r="B116" s="56" t="s">
        <v>50</v>
      </c>
      <c r="C116" s="57" t="s">
        <v>258</v>
      </c>
      <c r="D116" s="58">
        <v>21.81</v>
      </c>
      <c r="E116" s="58" t="s">
        <v>11</v>
      </c>
      <c r="F116" s="59" t="str">
        <f t="shared" si="5"/>
        <v>0011</v>
      </c>
      <c r="G116" s="60"/>
      <c r="H116" s="61">
        <v>5</v>
      </c>
      <c r="I116" s="61">
        <v>155</v>
      </c>
      <c r="J116" s="62">
        <f t="shared" si="6"/>
        <v>109.05</v>
      </c>
      <c r="K116" s="62">
        <f t="shared" si="7"/>
        <v>-150</v>
      </c>
      <c r="L116" s="62">
        <f t="shared" si="8"/>
        <v>-150</v>
      </c>
      <c r="M116" s="63">
        <f t="shared" si="9"/>
        <v>-3271.5</v>
      </c>
    </row>
    <row r="117" spans="1:13" s="64" customFormat="1" ht="16.5" hidden="1" customHeight="1" x14ac:dyDescent="0.2">
      <c r="A117" s="56" t="s">
        <v>353</v>
      </c>
      <c r="B117" s="56" t="s">
        <v>354</v>
      </c>
      <c r="C117" s="57"/>
      <c r="D117" s="58">
        <v>543.21</v>
      </c>
      <c r="E117" s="58" t="s">
        <v>11</v>
      </c>
      <c r="F117" s="59" t="str">
        <f t="shared" si="5"/>
        <v>0011</v>
      </c>
      <c r="G117" s="60"/>
      <c r="H117" s="61">
        <v>2</v>
      </c>
      <c r="I117" s="61">
        <v>8</v>
      </c>
      <c r="J117" s="62">
        <f t="shared" si="6"/>
        <v>1086.42</v>
      </c>
      <c r="K117" s="62">
        <f t="shared" si="7"/>
        <v>-6</v>
      </c>
      <c r="L117" s="62">
        <f t="shared" si="8"/>
        <v>-6</v>
      </c>
      <c r="M117" s="63">
        <f t="shared" si="9"/>
        <v>-3259.26</v>
      </c>
    </row>
    <row r="118" spans="1:13" s="64" customFormat="1" ht="16.5" hidden="1" customHeight="1" x14ac:dyDescent="0.2">
      <c r="A118" s="56" t="s">
        <v>187</v>
      </c>
      <c r="B118" s="56" t="s">
        <v>188</v>
      </c>
      <c r="C118" s="57" t="s">
        <v>16</v>
      </c>
      <c r="D118" s="58">
        <v>142.63</v>
      </c>
      <c r="E118" s="58" t="s">
        <v>11</v>
      </c>
      <c r="F118" s="59" t="str">
        <f t="shared" si="5"/>
        <v>0011</v>
      </c>
      <c r="G118" s="60"/>
      <c r="H118" s="61">
        <v>380</v>
      </c>
      <c r="I118" s="61">
        <v>358</v>
      </c>
      <c r="J118" s="62">
        <f t="shared" si="6"/>
        <v>54199.4</v>
      </c>
      <c r="K118" s="62">
        <f t="shared" si="7"/>
        <v>22</v>
      </c>
      <c r="L118" s="62">
        <f t="shared" si="8"/>
        <v>22</v>
      </c>
      <c r="M118" s="63">
        <f t="shared" si="9"/>
        <v>3137.8599999999997</v>
      </c>
    </row>
    <row r="119" spans="1:13" s="64" customFormat="1" ht="16.5" hidden="1" customHeight="1" x14ac:dyDescent="0.2">
      <c r="A119" s="56" t="s">
        <v>609</v>
      </c>
      <c r="B119" s="56" t="s">
        <v>610</v>
      </c>
      <c r="C119" s="57"/>
      <c r="D119" s="58">
        <v>38.119999999999997</v>
      </c>
      <c r="E119" s="58" t="s">
        <v>11</v>
      </c>
      <c r="F119" s="59" t="str">
        <f t="shared" si="5"/>
        <v>0011</v>
      </c>
      <c r="G119" s="60"/>
      <c r="H119" s="61">
        <v>0</v>
      </c>
      <c r="I119" s="61">
        <v>81</v>
      </c>
      <c r="J119" s="62">
        <f t="shared" si="6"/>
        <v>0</v>
      </c>
      <c r="K119" s="62">
        <f t="shared" si="7"/>
        <v>-81</v>
      </c>
      <c r="L119" s="62">
        <f t="shared" si="8"/>
        <v>-81</v>
      </c>
      <c r="M119" s="63">
        <f t="shared" si="9"/>
        <v>-3087.72</v>
      </c>
    </row>
    <row r="120" spans="1:13" s="64" customFormat="1" ht="16.5" hidden="1" customHeight="1" x14ac:dyDescent="0.2">
      <c r="A120" s="56" t="s">
        <v>72</v>
      </c>
      <c r="B120" s="56" t="s">
        <v>73</v>
      </c>
      <c r="C120" s="57" t="s">
        <v>16</v>
      </c>
      <c r="D120" s="58">
        <v>94.62</v>
      </c>
      <c r="E120" s="58" t="s">
        <v>11</v>
      </c>
      <c r="F120" s="59" t="str">
        <f t="shared" si="5"/>
        <v>0011</v>
      </c>
      <c r="G120" s="60"/>
      <c r="H120" s="61">
        <v>65</v>
      </c>
      <c r="I120" s="61">
        <v>35</v>
      </c>
      <c r="J120" s="62">
        <f t="shared" si="6"/>
        <v>6150.3</v>
      </c>
      <c r="K120" s="62">
        <f t="shared" si="7"/>
        <v>30</v>
      </c>
      <c r="L120" s="62">
        <f t="shared" si="8"/>
        <v>30</v>
      </c>
      <c r="M120" s="63">
        <f t="shared" si="9"/>
        <v>2838.6000000000004</v>
      </c>
    </row>
    <row r="121" spans="1:13" s="64" customFormat="1" ht="16.5" hidden="1" customHeight="1" x14ac:dyDescent="0.2">
      <c r="A121" s="65" t="s">
        <v>214</v>
      </c>
      <c r="B121" s="65" t="s">
        <v>215</v>
      </c>
      <c r="C121" s="66" t="s">
        <v>88</v>
      </c>
      <c r="D121" s="67">
        <v>15.11</v>
      </c>
      <c r="E121" s="67" t="s">
        <v>11</v>
      </c>
      <c r="F121" s="68" t="str">
        <f t="shared" si="5"/>
        <v>0011</v>
      </c>
      <c r="G121" s="69"/>
      <c r="H121" s="70">
        <v>186</v>
      </c>
      <c r="I121" s="70">
        <v>0</v>
      </c>
      <c r="J121" s="62">
        <f t="shared" si="6"/>
        <v>2810.46</v>
      </c>
      <c r="K121" s="62">
        <f t="shared" si="7"/>
        <v>186</v>
      </c>
      <c r="L121" s="62">
        <f t="shared" si="8"/>
        <v>186</v>
      </c>
      <c r="M121" s="63">
        <f t="shared" si="9"/>
        <v>2810.46</v>
      </c>
    </row>
    <row r="122" spans="1:13" s="64" customFormat="1" ht="16.5" hidden="1" customHeight="1" x14ac:dyDescent="0.2">
      <c r="A122" s="65" t="s">
        <v>232</v>
      </c>
      <c r="B122" s="65" t="s">
        <v>233</v>
      </c>
      <c r="C122" s="66" t="s">
        <v>234</v>
      </c>
      <c r="D122" s="67">
        <v>27.68</v>
      </c>
      <c r="E122" s="67" t="s">
        <v>11</v>
      </c>
      <c r="F122" s="68" t="str">
        <f t="shared" si="5"/>
        <v>0011</v>
      </c>
      <c r="G122" s="69"/>
      <c r="H122" s="70">
        <v>100</v>
      </c>
      <c r="I122" s="70">
        <v>0</v>
      </c>
      <c r="J122" s="62">
        <f t="shared" si="6"/>
        <v>2768</v>
      </c>
      <c r="K122" s="62">
        <f t="shared" si="7"/>
        <v>100</v>
      </c>
      <c r="L122" s="62">
        <f t="shared" si="8"/>
        <v>100</v>
      </c>
      <c r="M122" s="63">
        <f t="shared" si="9"/>
        <v>2768</v>
      </c>
    </row>
    <row r="123" spans="1:13" s="64" customFormat="1" ht="16.5" hidden="1" customHeight="1" x14ac:dyDescent="0.2">
      <c r="A123" s="56" t="s">
        <v>105</v>
      </c>
      <c r="B123" s="56" t="s">
        <v>106</v>
      </c>
      <c r="C123" s="57" t="s">
        <v>107</v>
      </c>
      <c r="D123" s="58">
        <v>24.23</v>
      </c>
      <c r="E123" s="58" t="s">
        <v>11</v>
      </c>
      <c r="F123" s="59" t="str">
        <f t="shared" si="5"/>
        <v>0011</v>
      </c>
      <c r="G123" s="60"/>
      <c r="H123" s="61">
        <v>81</v>
      </c>
      <c r="I123" s="61">
        <v>193</v>
      </c>
      <c r="J123" s="62">
        <f t="shared" si="6"/>
        <v>1962.63</v>
      </c>
      <c r="K123" s="62">
        <f t="shared" si="7"/>
        <v>-112</v>
      </c>
      <c r="L123" s="62">
        <f t="shared" si="8"/>
        <v>-112</v>
      </c>
      <c r="M123" s="63">
        <f t="shared" si="9"/>
        <v>-2713.76</v>
      </c>
    </row>
    <row r="124" spans="1:13" s="64" customFormat="1" ht="16.5" hidden="1" customHeight="1" x14ac:dyDescent="0.2">
      <c r="A124" s="56" t="s">
        <v>51</v>
      </c>
      <c r="B124" s="56" t="s">
        <v>52</v>
      </c>
      <c r="C124" s="57" t="s">
        <v>564</v>
      </c>
      <c r="D124" s="58">
        <v>7.04</v>
      </c>
      <c r="E124" s="58" t="s">
        <v>11</v>
      </c>
      <c r="F124" s="59" t="str">
        <f t="shared" si="5"/>
        <v>0011</v>
      </c>
      <c r="G124" s="60"/>
      <c r="H124" s="61">
        <v>6096</v>
      </c>
      <c r="I124" s="61">
        <v>6444</v>
      </c>
      <c r="J124" s="62">
        <f t="shared" si="6"/>
        <v>42915.840000000004</v>
      </c>
      <c r="K124" s="62">
        <f t="shared" si="7"/>
        <v>-348</v>
      </c>
      <c r="L124" s="62">
        <f t="shared" si="8"/>
        <v>-348</v>
      </c>
      <c r="M124" s="63">
        <f t="shared" si="9"/>
        <v>-2449.92</v>
      </c>
    </row>
    <row r="125" spans="1:13" s="64" customFormat="1" ht="16.5" hidden="1" customHeight="1" x14ac:dyDescent="0.2">
      <c r="A125" s="56" t="s">
        <v>232</v>
      </c>
      <c r="B125" s="56" t="s">
        <v>233</v>
      </c>
      <c r="C125" s="57" t="s">
        <v>491</v>
      </c>
      <c r="D125" s="58">
        <v>27.68</v>
      </c>
      <c r="E125" s="58" t="s">
        <v>11</v>
      </c>
      <c r="F125" s="59" t="str">
        <f t="shared" si="5"/>
        <v>0011</v>
      </c>
      <c r="G125" s="60"/>
      <c r="H125" s="61">
        <v>2400</v>
      </c>
      <c r="I125" s="61">
        <v>2479</v>
      </c>
      <c r="J125" s="62">
        <f t="shared" si="6"/>
        <v>66432</v>
      </c>
      <c r="K125" s="62">
        <f t="shared" si="7"/>
        <v>-79</v>
      </c>
      <c r="L125" s="62">
        <f t="shared" si="8"/>
        <v>-79</v>
      </c>
      <c r="M125" s="63">
        <f t="shared" si="9"/>
        <v>-2186.7199999999998</v>
      </c>
    </row>
    <row r="126" spans="1:13" s="64" customFormat="1" ht="16.5" hidden="1" customHeight="1" x14ac:dyDescent="0.2">
      <c r="A126" s="56" t="s">
        <v>28</v>
      </c>
      <c r="B126" s="56" t="s">
        <v>29</v>
      </c>
      <c r="C126" s="57" t="s">
        <v>513</v>
      </c>
      <c r="D126" s="58">
        <v>3.28</v>
      </c>
      <c r="E126" s="58" t="s">
        <v>11</v>
      </c>
      <c r="F126" s="59" t="str">
        <f t="shared" si="5"/>
        <v>0011</v>
      </c>
      <c r="G126" s="60"/>
      <c r="H126" s="61">
        <v>441</v>
      </c>
      <c r="I126" s="61">
        <v>1104</v>
      </c>
      <c r="J126" s="62">
        <f t="shared" si="6"/>
        <v>1446.48</v>
      </c>
      <c r="K126" s="62">
        <f t="shared" si="7"/>
        <v>-663</v>
      </c>
      <c r="L126" s="62">
        <f t="shared" si="8"/>
        <v>-663</v>
      </c>
      <c r="M126" s="63">
        <f t="shared" si="9"/>
        <v>-2174.64</v>
      </c>
    </row>
    <row r="127" spans="1:13" s="64" customFormat="1" ht="16.5" hidden="1" customHeight="1" x14ac:dyDescent="0.2">
      <c r="A127" s="65" t="s">
        <v>440</v>
      </c>
      <c r="B127" s="65" t="s">
        <v>441</v>
      </c>
      <c r="C127" s="66" t="s">
        <v>673</v>
      </c>
      <c r="D127" s="67">
        <v>93.15</v>
      </c>
      <c r="E127" s="67" t="s">
        <v>11</v>
      </c>
      <c r="F127" s="68" t="str">
        <f t="shared" si="5"/>
        <v>0011</v>
      </c>
      <c r="G127" s="69"/>
      <c r="H127" s="70">
        <v>23</v>
      </c>
      <c r="I127" s="70">
        <v>0</v>
      </c>
      <c r="J127" s="62">
        <f t="shared" si="6"/>
        <v>2142.4500000000003</v>
      </c>
      <c r="K127" s="62">
        <f t="shared" si="7"/>
        <v>23</v>
      </c>
      <c r="L127" s="62">
        <f t="shared" si="8"/>
        <v>23</v>
      </c>
      <c r="M127" s="63">
        <f t="shared" si="9"/>
        <v>2142.4500000000003</v>
      </c>
    </row>
    <row r="128" spans="1:13" s="64" customFormat="1" ht="16.5" hidden="1" customHeight="1" x14ac:dyDescent="0.2">
      <c r="A128" s="56" t="s">
        <v>214</v>
      </c>
      <c r="B128" s="56" t="s">
        <v>215</v>
      </c>
      <c r="C128" s="57" t="s">
        <v>472</v>
      </c>
      <c r="D128" s="58">
        <v>15.11</v>
      </c>
      <c r="E128" s="58" t="s">
        <v>11</v>
      </c>
      <c r="F128" s="59" t="str">
        <f t="shared" si="5"/>
        <v>0011</v>
      </c>
      <c r="G128" s="60"/>
      <c r="H128" s="61">
        <v>173</v>
      </c>
      <c r="I128" s="61">
        <v>314</v>
      </c>
      <c r="J128" s="62">
        <f t="shared" si="6"/>
        <v>2614.0299999999997</v>
      </c>
      <c r="K128" s="62">
        <f t="shared" si="7"/>
        <v>-141</v>
      </c>
      <c r="L128" s="62">
        <f t="shared" si="8"/>
        <v>-141</v>
      </c>
      <c r="M128" s="63">
        <f t="shared" si="9"/>
        <v>-2130.5099999999998</v>
      </c>
    </row>
    <row r="129" spans="1:13" s="64" customFormat="1" ht="16.5" hidden="1" customHeight="1" x14ac:dyDescent="0.2">
      <c r="A129" s="56" t="s">
        <v>198</v>
      </c>
      <c r="B129" s="56" t="s">
        <v>199</v>
      </c>
      <c r="C129" s="57" t="s">
        <v>200</v>
      </c>
      <c r="D129" s="58">
        <v>8.51</v>
      </c>
      <c r="E129" s="58" t="s">
        <v>11</v>
      </c>
      <c r="F129" s="59" t="str">
        <f t="shared" si="5"/>
        <v>0011</v>
      </c>
      <c r="G129" s="60"/>
      <c r="H129" s="61">
        <v>570</v>
      </c>
      <c r="I129" s="61">
        <v>818</v>
      </c>
      <c r="J129" s="62">
        <f t="shared" si="6"/>
        <v>4850.7</v>
      </c>
      <c r="K129" s="62">
        <f t="shared" si="7"/>
        <v>-248</v>
      </c>
      <c r="L129" s="62">
        <f t="shared" si="8"/>
        <v>-248</v>
      </c>
      <c r="M129" s="63">
        <f t="shared" si="9"/>
        <v>-2110.48</v>
      </c>
    </row>
    <row r="130" spans="1:13" s="64" customFormat="1" ht="16.5" hidden="1" customHeight="1" x14ac:dyDescent="0.2">
      <c r="A130" s="56" t="s">
        <v>58</v>
      </c>
      <c r="B130" s="56" t="s">
        <v>59</v>
      </c>
      <c r="C130" s="57" t="s">
        <v>280</v>
      </c>
      <c r="D130" s="58">
        <v>10.46</v>
      </c>
      <c r="E130" s="58" t="s">
        <v>11</v>
      </c>
      <c r="F130" s="59" t="str">
        <f t="shared" si="5"/>
        <v>0011</v>
      </c>
      <c r="G130" s="60"/>
      <c r="H130" s="61">
        <v>5760</v>
      </c>
      <c r="I130" s="61">
        <v>5957</v>
      </c>
      <c r="J130" s="62">
        <f t="shared" si="6"/>
        <v>60249.600000000006</v>
      </c>
      <c r="K130" s="62">
        <f t="shared" si="7"/>
        <v>-197</v>
      </c>
      <c r="L130" s="62">
        <f t="shared" si="8"/>
        <v>-197</v>
      </c>
      <c r="M130" s="63">
        <f t="shared" si="9"/>
        <v>-2060.6200000000003</v>
      </c>
    </row>
    <row r="131" spans="1:13" s="64" customFormat="1" ht="16.5" hidden="1" customHeight="1" x14ac:dyDescent="0.2">
      <c r="A131" s="56" t="s">
        <v>80</v>
      </c>
      <c r="B131" s="56" t="s">
        <v>81</v>
      </c>
      <c r="C131" s="57"/>
      <c r="D131" s="58">
        <v>18.43</v>
      </c>
      <c r="E131" s="58" t="s">
        <v>11</v>
      </c>
      <c r="F131" s="59" t="str">
        <f t="shared" si="5"/>
        <v>0011</v>
      </c>
      <c r="G131" s="60"/>
      <c r="H131" s="61">
        <v>3972</v>
      </c>
      <c r="I131" s="61">
        <v>3864</v>
      </c>
      <c r="J131" s="62">
        <f t="shared" si="6"/>
        <v>73203.959999999992</v>
      </c>
      <c r="K131" s="62">
        <f t="shared" si="7"/>
        <v>108</v>
      </c>
      <c r="L131" s="62">
        <f t="shared" si="8"/>
        <v>108</v>
      </c>
      <c r="M131" s="63">
        <f t="shared" si="9"/>
        <v>1990.44</v>
      </c>
    </row>
    <row r="132" spans="1:13" s="64" customFormat="1" ht="16.5" hidden="1" customHeight="1" x14ac:dyDescent="0.2">
      <c r="A132" s="56" t="s">
        <v>462</v>
      </c>
      <c r="B132" s="56" t="s">
        <v>463</v>
      </c>
      <c r="C132" s="57"/>
      <c r="D132" s="58">
        <v>4.7300000000000004</v>
      </c>
      <c r="E132" s="58" t="s">
        <v>11</v>
      </c>
      <c r="F132" s="59" t="str">
        <f t="shared" si="5"/>
        <v>0011</v>
      </c>
      <c r="G132" s="60"/>
      <c r="H132" s="61">
        <v>0</v>
      </c>
      <c r="I132" s="61">
        <v>400</v>
      </c>
      <c r="J132" s="62">
        <f t="shared" si="6"/>
        <v>0</v>
      </c>
      <c r="K132" s="62">
        <f t="shared" si="7"/>
        <v>-400</v>
      </c>
      <c r="L132" s="62">
        <f t="shared" si="8"/>
        <v>-400</v>
      </c>
      <c r="M132" s="63">
        <f t="shared" si="9"/>
        <v>-1892.0000000000002</v>
      </c>
    </row>
    <row r="133" spans="1:13" ht="18" hidden="1" customHeight="1" x14ac:dyDescent="0.2">
      <c r="A133" s="56" t="s">
        <v>40</v>
      </c>
      <c r="B133" s="56" t="s">
        <v>41</v>
      </c>
      <c r="C133" s="57" t="s">
        <v>254</v>
      </c>
      <c r="D133" s="58">
        <v>2.91</v>
      </c>
      <c r="E133" s="58" t="s">
        <v>11</v>
      </c>
      <c r="F133" s="59" t="str">
        <f t="shared" si="5"/>
        <v>0011</v>
      </c>
      <c r="G133" s="60"/>
      <c r="H133" s="61">
        <v>0</v>
      </c>
      <c r="I133" s="61">
        <v>649</v>
      </c>
      <c r="J133" s="62">
        <f t="shared" si="6"/>
        <v>0</v>
      </c>
      <c r="K133" s="62">
        <f t="shared" si="7"/>
        <v>-649</v>
      </c>
      <c r="L133" s="62">
        <f t="shared" si="8"/>
        <v>-649</v>
      </c>
      <c r="M133" s="63">
        <f t="shared" si="9"/>
        <v>-1888.5900000000001</v>
      </c>
    </row>
    <row r="134" spans="1:13" ht="15.75" hidden="1" customHeight="1" x14ac:dyDescent="0.2">
      <c r="A134" s="56" t="s">
        <v>58</v>
      </c>
      <c r="B134" s="56" t="s">
        <v>59</v>
      </c>
      <c r="C134" s="57" t="s">
        <v>579</v>
      </c>
      <c r="D134" s="58">
        <v>10.46</v>
      </c>
      <c r="E134" s="58" t="s">
        <v>11</v>
      </c>
      <c r="F134" s="59" t="str">
        <f t="shared" si="5"/>
        <v>0011</v>
      </c>
      <c r="G134" s="60"/>
      <c r="H134" s="61">
        <v>12</v>
      </c>
      <c r="I134" s="61">
        <v>192</v>
      </c>
      <c r="J134" s="62">
        <f t="shared" si="6"/>
        <v>125.52000000000001</v>
      </c>
      <c r="K134" s="62">
        <f t="shared" si="7"/>
        <v>-180</v>
      </c>
      <c r="L134" s="62">
        <f t="shared" si="8"/>
        <v>-180</v>
      </c>
      <c r="M134" s="63">
        <f t="shared" si="9"/>
        <v>-1882.8000000000002</v>
      </c>
    </row>
    <row r="135" spans="1:13" ht="12.75" hidden="1" x14ac:dyDescent="0.2">
      <c r="A135" s="56" t="s">
        <v>598</v>
      </c>
      <c r="B135" s="56" t="s">
        <v>599</v>
      </c>
      <c r="C135" s="57"/>
      <c r="D135" s="58">
        <v>3.41</v>
      </c>
      <c r="E135" s="58" t="s">
        <v>11</v>
      </c>
      <c r="F135" s="59" t="str">
        <f t="shared" si="5"/>
        <v>0011</v>
      </c>
      <c r="G135" s="60"/>
      <c r="H135" s="61">
        <v>0</v>
      </c>
      <c r="I135" s="61">
        <v>540</v>
      </c>
      <c r="J135" s="62">
        <f t="shared" si="6"/>
        <v>0</v>
      </c>
      <c r="K135" s="62">
        <f t="shared" si="7"/>
        <v>-540</v>
      </c>
      <c r="L135" s="62">
        <f t="shared" si="8"/>
        <v>-540</v>
      </c>
      <c r="M135" s="63">
        <f t="shared" si="9"/>
        <v>-1841.4</v>
      </c>
    </row>
    <row r="136" spans="1:13" ht="12.75" hidden="1" x14ac:dyDescent="0.2">
      <c r="A136" s="56" t="s">
        <v>454</v>
      </c>
      <c r="B136" s="56" t="s">
        <v>455</v>
      </c>
      <c r="C136" s="57"/>
      <c r="D136" s="58">
        <v>35.21</v>
      </c>
      <c r="E136" s="58" t="s">
        <v>11</v>
      </c>
      <c r="F136" s="59" t="str">
        <f t="shared" ref="F136:F199" si="10">+$M$3</f>
        <v>0011</v>
      </c>
      <c r="G136" s="60"/>
      <c r="H136" s="61">
        <v>250</v>
      </c>
      <c r="I136" s="61">
        <v>199</v>
      </c>
      <c r="J136" s="62">
        <f t="shared" ref="J136:J199" si="11">D136*H136</f>
        <v>8802.5</v>
      </c>
      <c r="K136" s="62">
        <f t="shared" ref="K136:K199" si="12">H136-I136</f>
        <v>51</v>
      </c>
      <c r="L136" s="62">
        <f t="shared" ref="L136:L199" si="13">H136-I136</f>
        <v>51</v>
      </c>
      <c r="M136" s="63">
        <f t="shared" ref="M136:M199" si="14">L136*D136</f>
        <v>1795.71</v>
      </c>
    </row>
    <row r="137" spans="1:13" ht="12.75" hidden="1" x14ac:dyDescent="0.2">
      <c r="A137" s="65" t="s">
        <v>328</v>
      </c>
      <c r="B137" s="65" t="s">
        <v>329</v>
      </c>
      <c r="C137" s="66" t="s">
        <v>16</v>
      </c>
      <c r="D137" s="67">
        <v>100.99</v>
      </c>
      <c r="E137" s="67" t="s">
        <v>11</v>
      </c>
      <c r="F137" s="68" t="str">
        <f t="shared" si="10"/>
        <v>0011</v>
      </c>
      <c r="G137" s="69"/>
      <c r="H137" s="70">
        <v>17</v>
      </c>
      <c r="I137" s="70">
        <v>0</v>
      </c>
      <c r="J137" s="62">
        <f t="shared" si="11"/>
        <v>1716.83</v>
      </c>
      <c r="K137" s="62">
        <f t="shared" si="12"/>
        <v>17</v>
      </c>
      <c r="L137" s="62">
        <f t="shared" si="13"/>
        <v>17</v>
      </c>
      <c r="M137" s="63">
        <f t="shared" si="14"/>
        <v>1716.83</v>
      </c>
    </row>
    <row r="138" spans="1:13" ht="12.75" hidden="1" x14ac:dyDescent="0.2">
      <c r="A138" s="56" t="s">
        <v>51</v>
      </c>
      <c r="B138" s="56" t="s">
        <v>52</v>
      </c>
      <c r="C138" s="57" t="s">
        <v>562</v>
      </c>
      <c r="D138" s="58">
        <v>7.04</v>
      </c>
      <c r="E138" s="58" t="s">
        <v>11</v>
      </c>
      <c r="F138" s="59" t="str">
        <f t="shared" si="10"/>
        <v>0011</v>
      </c>
      <c r="G138" s="60"/>
      <c r="H138" s="61">
        <v>725</v>
      </c>
      <c r="I138" s="61">
        <v>484</v>
      </c>
      <c r="J138" s="62">
        <f t="shared" si="11"/>
        <v>5104</v>
      </c>
      <c r="K138" s="62">
        <f t="shared" si="12"/>
        <v>241</v>
      </c>
      <c r="L138" s="62">
        <f t="shared" si="13"/>
        <v>241</v>
      </c>
      <c r="M138" s="63">
        <f t="shared" si="14"/>
        <v>1696.64</v>
      </c>
    </row>
    <row r="139" spans="1:13" ht="12.75" hidden="1" x14ac:dyDescent="0.2">
      <c r="A139" s="65" t="s">
        <v>217</v>
      </c>
      <c r="B139" s="65" t="s">
        <v>218</v>
      </c>
      <c r="C139" s="66" t="s">
        <v>665</v>
      </c>
      <c r="D139" s="67">
        <v>13.96</v>
      </c>
      <c r="E139" s="67" t="s">
        <v>11</v>
      </c>
      <c r="F139" s="68" t="str">
        <f t="shared" si="10"/>
        <v>0011</v>
      </c>
      <c r="G139" s="69"/>
      <c r="H139" s="70">
        <v>120</v>
      </c>
      <c r="I139" s="70">
        <v>0</v>
      </c>
      <c r="J139" s="62">
        <f t="shared" si="11"/>
        <v>1675.2</v>
      </c>
      <c r="K139" s="62">
        <f t="shared" si="12"/>
        <v>120</v>
      </c>
      <c r="L139" s="62">
        <f t="shared" si="13"/>
        <v>120</v>
      </c>
      <c r="M139" s="63">
        <f t="shared" si="14"/>
        <v>1675.2</v>
      </c>
    </row>
    <row r="140" spans="1:13" ht="12.75" hidden="1" x14ac:dyDescent="0.2">
      <c r="A140" s="56" t="s">
        <v>399</v>
      </c>
      <c r="B140" s="56" t="s">
        <v>400</v>
      </c>
      <c r="C140" s="57"/>
      <c r="D140" s="58">
        <v>39.92</v>
      </c>
      <c r="E140" s="58" t="s">
        <v>11</v>
      </c>
      <c r="F140" s="59" t="str">
        <f t="shared" si="10"/>
        <v>0011</v>
      </c>
      <c r="G140" s="60"/>
      <c r="H140" s="61">
        <v>0</v>
      </c>
      <c r="I140" s="61">
        <v>40</v>
      </c>
      <c r="J140" s="62">
        <f t="shared" si="11"/>
        <v>0</v>
      </c>
      <c r="K140" s="62">
        <f t="shared" si="12"/>
        <v>-40</v>
      </c>
      <c r="L140" s="62">
        <f t="shared" si="13"/>
        <v>-40</v>
      </c>
      <c r="M140" s="63">
        <f t="shared" si="14"/>
        <v>-1596.8000000000002</v>
      </c>
    </row>
    <row r="141" spans="1:13" ht="12.75" hidden="1" x14ac:dyDescent="0.2">
      <c r="A141" s="65" t="s">
        <v>399</v>
      </c>
      <c r="B141" s="65" t="s">
        <v>400</v>
      </c>
      <c r="C141" s="66" t="s">
        <v>16</v>
      </c>
      <c r="D141" s="67">
        <v>39.92</v>
      </c>
      <c r="E141" s="67" t="s">
        <v>11</v>
      </c>
      <c r="F141" s="68" t="str">
        <f t="shared" si="10"/>
        <v>0011</v>
      </c>
      <c r="G141" s="69"/>
      <c r="H141" s="70">
        <v>40</v>
      </c>
      <c r="I141" s="70">
        <v>0</v>
      </c>
      <c r="J141" s="62">
        <f t="shared" si="11"/>
        <v>1596.8000000000002</v>
      </c>
      <c r="K141" s="62">
        <f t="shared" si="12"/>
        <v>40</v>
      </c>
      <c r="L141" s="62">
        <f t="shared" si="13"/>
        <v>40</v>
      </c>
      <c r="M141" s="63">
        <f t="shared" si="14"/>
        <v>1596.8000000000002</v>
      </c>
    </row>
    <row r="142" spans="1:13" ht="12.75" hidden="1" x14ac:dyDescent="0.2">
      <c r="A142" s="65" t="s">
        <v>450</v>
      </c>
      <c r="B142" s="65" t="s">
        <v>451</v>
      </c>
      <c r="C142" s="66" t="s">
        <v>330</v>
      </c>
      <c r="D142" s="67">
        <v>30.18</v>
      </c>
      <c r="E142" s="67" t="s">
        <v>11</v>
      </c>
      <c r="F142" s="68" t="str">
        <f t="shared" si="10"/>
        <v>0011</v>
      </c>
      <c r="G142" s="69"/>
      <c r="H142" s="70">
        <v>52</v>
      </c>
      <c r="I142" s="70">
        <v>0</v>
      </c>
      <c r="J142" s="62">
        <f t="shared" si="11"/>
        <v>1569.36</v>
      </c>
      <c r="K142" s="62">
        <f t="shared" si="12"/>
        <v>52</v>
      </c>
      <c r="L142" s="62">
        <f t="shared" si="13"/>
        <v>52</v>
      </c>
      <c r="M142" s="63">
        <f t="shared" si="14"/>
        <v>1569.36</v>
      </c>
    </row>
    <row r="143" spans="1:13" ht="12.75" hidden="1" x14ac:dyDescent="0.2">
      <c r="A143" s="56" t="s">
        <v>44</v>
      </c>
      <c r="B143" s="56" t="s">
        <v>45</v>
      </c>
      <c r="C143" s="57" t="s">
        <v>544</v>
      </c>
      <c r="D143" s="58">
        <v>2.95</v>
      </c>
      <c r="E143" s="58" t="s">
        <v>11</v>
      </c>
      <c r="F143" s="59" t="str">
        <f t="shared" si="10"/>
        <v>0011</v>
      </c>
      <c r="G143" s="60"/>
      <c r="H143" s="61">
        <v>5179</v>
      </c>
      <c r="I143" s="61">
        <v>4651</v>
      </c>
      <c r="J143" s="62">
        <f t="shared" si="11"/>
        <v>15278.050000000001</v>
      </c>
      <c r="K143" s="62">
        <f t="shared" si="12"/>
        <v>528</v>
      </c>
      <c r="L143" s="62">
        <f t="shared" si="13"/>
        <v>528</v>
      </c>
      <c r="M143" s="63">
        <f t="shared" si="14"/>
        <v>1557.6000000000001</v>
      </c>
    </row>
    <row r="144" spans="1:13" ht="12.75" hidden="1" x14ac:dyDescent="0.2">
      <c r="A144" s="56" t="s">
        <v>456</v>
      </c>
      <c r="B144" s="56" t="s">
        <v>457</v>
      </c>
      <c r="C144" s="57"/>
      <c r="D144" s="58">
        <v>10.1</v>
      </c>
      <c r="E144" s="58" t="s">
        <v>11</v>
      </c>
      <c r="F144" s="59" t="str">
        <f t="shared" si="10"/>
        <v>0011</v>
      </c>
      <c r="G144" s="60"/>
      <c r="H144" s="61">
        <v>30</v>
      </c>
      <c r="I144" s="61">
        <v>180</v>
      </c>
      <c r="J144" s="62">
        <f t="shared" si="11"/>
        <v>303</v>
      </c>
      <c r="K144" s="62">
        <f t="shared" si="12"/>
        <v>-150</v>
      </c>
      <c r="L144" s="62">
        <f t="shared" si="13"/>
        <v>-150</v>
      </c>
      <c r="M144" s="63">
        <f t="shared" si="14"/>
        <v>-1515</v>
      </c>
    </row>
    <row r="145" spans="1:13" ht="12.75" hidden="1" x14ac:dyDescent="0.2">
      <c r="A145" s="56" t="s">
        <v>440</v>
      </c>
      <c r="B145" s="56" t="s">
        <v>441</v>
      </c>
      <c r="C145" s="57" t="s">
        <v>442</v>
      </c>
      <c r="D145" s="58">
        <v>93.15</v>
      </c>
      <c r="E145" s="58" t="s">
        <v>11</v>
      </c>
      <c r="F145" s="59" t="str">
        <f t="shared" si="10"/>
        <v>0011</v>
      </c>
      <c r="G145" s="60"/>
      <c r="H145" s="61">
        <v>44</v>
      </c>
      <c r="I145" s="61">
        <v>59</v>
      </c>
      <c r="J145" s="62">
        <f t="shared" si="11"/>
        <v>4098.6000000000004</v>
      </c>
      <c r="K145" s="62">
        <f t="shared" si="12"/>
        <v>-15</v>
      </c>
      <c r="L145" s="62">
        <f t="shared" si="13"/>
        <v>-15</v>
      </c>
      <c r="M145" s="63">
        <f t="shared" si="14"/>
        <v>-1397.25</v>
      </c>
    </row>
    <row r="146" spans="1:13" ht="12.75" hidden="1" x14ac:dyDescent="0.2">
      <c r="A146" s="65" t="s">
        <v>239</v>
      </c>
      <c r="B146" s="65" t="s">
        <v>240</v>
      </c>
      <c r="C146" s="66" t="s">
        <v>638</v>
      </c>
      <c r="D146" s="67">
        <v>26.36</v>
      </c>
      <c r="E146" s="67" t="s">
        <v>11</v>
      </c>
      <c r="F146" s="68" t="str">
        <f t="shared" si="10"/>
        <v>0011</v>
      </c>
      <c r="G146" s="69"/>
      <c r="H146" s="70">
        <v>53</v>
      </c>
      <c r="I146" s="70">
        <v>0</v>
      </c>
      <c r="J146" s="62">
        <f t="shared" si="11"/>
        <v>1397.08</v>
      </c>
      <c r="K146" s="62">
        <f t="shared" si="12"/>
        <v>53</v>
      </c>
      <c r="L146" s="62">
        <f t="shared" si="13"/>
        <v>53</v>
      </c>
      <c r="M146" s="63">
        <f t="shared" si="14"/>
        <v>1397.08</v>
      </c>
    </row>
    <row r="147" spans="1:13" ht="12.75" hidden="1" x14ac:dyDescent="0.2">
      <c r="A147" s="56" t="s">
        <v>58</v>
      </c>
      <c r="B147" s="56" t="s">
        <v>59</v>
      </c>
      <c r="C147" s="57" t="s">
        <v>277</v>
      </c>
      <c r="D147" s="58">
        <v>10.46</v>
      </c>
      <c r="E147" s="58" t="s">
        <v>11</v>
      </c>
      <c r="F147" s="59" t="str">
        <f t="shared" si="10"/>
        <v>0011</v>
      </c>
      <c r="G147" s="60"/>
      <c r="H147" s="61">
        <v>146</v>
      </c>
      <c r="I147" s="61">
        <v>13</v>
      </c>
      <c r="J147" s="62">
        <f t="shared" si="11"/>
        <v>1527.16</v>
      </c>
      <c r="K147" s="62">
        <f t="shared" si="12"/>
        <v>133</v>
      </c>
      <c r="L147" s="62">
        <f t="shared" si="13"/>
        <v>133</v>
      </c>
      <c r="M147" s="63">
        <f t="shared" si="14"/>
        <v>1391.18</v>
      </c>
    </row>
    <row r="148" spans="1:13" ht="12.75" hidden="1" x14ac:dyDescent="0.2">
      <c r="A148" s="56" t="s">
        <v>236</v>
      </c>
      <c r="B148" s="56" t="s">
        <v>237</v>
      </c>
      <c r="C148" s="57" t="s">
        <v>238</v>
      </c>
      <c r="D148" s="58">
        <v>15.08</v>
      </c>
      <c r="E148" s="58" t="s">
        <v>11</v>
      </c>
      <c r="F148" s="59" t="str">
        <f t="shared" si="10"/>
        <v>0011</v>
      </c>
      <c r="G148" s="60"/>
      <c r="H148" s="61">
        <v>340</v>
      </c>
      <c r="I148" s="61">
        <v>430</v>
      </c>
      <c r="J148" s="62">
        <f t="shared" si="11"/>
        <v>5127.2</v>
      </c>
      <c r="K148" s="62">
        <f t="shared" si="12"/>
        <v>-90</v>
      </c>
      <c r="L148" s="62">
        <f t="shared" si="13"/>
        <v>-90</v>
      </c>
      <c r="M148" s="63">
        <f t="shared" si="14"/>
        <v>-1357.2</v>
      </c>
    </row>
    <row r="149" spans="1:13" ht="12.75" hidden="1" x14ac:dyDescent="0.2">
      <c r="A149" s="56" t="s">
        <v>407</v>
      </c>
      <c r="B149" s="56" t="s">
        <v>408</v>
      </c>
      <c r="C149" s="57"/>
      <c r="D149" s="58">
        <v>18.14</v>
      </c>
      <c r="E149" s="58" t="s">
        <v>11</v>
      </c>
      <c r="F149" s="59" t="str">
        <f t="shared" si="10"/>
        <v>0011</v>
      </c>
      <c r="G149" s="60"/>
      <c r="H149" s="61">
        <v>541</v>
      </c>
      <c r="I149" s="61">
        <v>469</v>
      </c>
      <c r="J149" s="62">
        <f t="shared" si="11"/>
        <v>9813.74</v>
      </c>
      <c r="K149" s="62">
        <f t="shared" si="12"/>
        <v>72</v>
      </c>
      <c r="L149" s="62">
        <f t="shared" si="13"/>
        <v>72</v>
      </c>
      <c r="M149" s="63">
        <f t="shared" si="14"/>
        <v>1306.08</v>
      </c>
    </row>
    <row r="150" spans="1:13" ht="12.75" hidden="1" x14ac:dyDescent="0.2">
      <c r="A150" s="56" t="s">
        <v>387</v>
      </c>
      <c r="B150" s="56" t="s">
        <v>388</v>
      </c>
      <c r="C150" s="57"/>
      <c r="D150" s="58">
        <v>261.12</v>
      </c>
      <c r="E150" s="58" t="s">
        <v>11</v>
      </c>
      <c r="F150" s="59" t="str">
        <f t="shared" si="10"/>
        <v>0011</v>
      </c>
      <c r="G150" s="60"/>
      <c r="H150" s="61">
        <v>10</v>
      </c>
      <c r="I150" s="61">
        <v>5</v>
      </c>
      <c r="J150" s="62">
        <f t="shared" si="11"/>
        <v>2611.1999999999998</v>
      </c>
      <c r="K150" s="62">
        <f t="shared" si="12"/>
        <v>5</v>
      </c>
      <c r="L150" s="62">
        <f t="shared" si="13"/>
        <v>5</v>
      </c>
      <c r="M150" s="63">
        <f t="shared" si="14"/>
        <v>1305.5999999999999</v>
      </c>
    </row>
    <row r="151" spans="1:13" ht="12.75" hidden="1" x14ac:dyDescent="0.2">
      <c r="A151" s="56" t="s">
        <v>133</v>
      </c>
      <c r="B151" s="56" t="s">
        <v>129</v>
      </c>
      <c r="C151" s="57" t="s">
        <v>581</v>
      </c>
      <c r="D151" s="58">
        <v>10.199999999999999</v>
      </c>
      <c r="E151" s="58" t="s">
        <v>11</v>
      </c>
      <c r="F151" s="59" t="str">
        <f t="shared" si="10"/>
        <v>0011</v>
      </c>
      <c r="G151" s="60"/>
      <c r="H151" s="61">
        <v>0</v>
      </c>
      <c r="I151" s="61">
        <v>120</v>
      </c>
      <c r="J151" s="62">
        <f t="shared" si="11"/>
        <v>0</v>
      </c>
      <c r="K151" s="62">
        <f t="shared" si="12"/>
        <v>-120</v>
      </c>
      <c r="L151" s="62">
        <f t="shared" si="13"/>
        <v>-120</v>
      </c>
      <c r="M151" s="63">
        <f t="shared" si="14"/>
        <v>-1224</v>
      </c>
    </row>
    <row r="152" spans="1:13" ht="12.75" hidden="1" x14ac:dyDescent="0.2">
      <c r="A152" s="56" t="s">
        <v>411</v>
      </c>
      <c r="B152" s="56" t="s">
        <v>412</v>
      </c>
      <c r="C152" s="57"/>
      <c r="D152" s="58">
        <v>15.52</v>
      </c>
      <c r="E152" s="58" t="s">
        <v>11</v>
      </c>
      <c r="F152" s="59" t="str">
        <f t="shared" si="10"/>
        <v>0011</v>
      </c>
      <c r="G152" s="60"/>
      <c r="H152" s="61">
        <v>976</v>
      </c>
      <c r="I152" s="61">
        <v>898</v>
      </c>
      <c r="J152" s="62">
        <f t="shared" si="11"/>
        <v>15147.52</v>
      </c>
      <c r="K152" s="62">
        <f t="shared" si="12"/>
        <v>78</v>
      </c>
      <c r="L152" s="62">
        <f t="shared" si="13"/>
        <v>78</v>
      </c>
      <c r="M152" s="63">
        <f t="shared" si="14"/>
        <v>1210.56</v>
      </c>
    </row>
    <row r="153" spans="1:13" ht="12.75" hidden="1" x14ac:dyDescent="0.2">
      <c r="A153" s="56" t="s">
        <v>220</v>
      </c>
      <c r="B153" s="56" t="s">
        <v>221</v>
      </c>
      <c r="C153" s="57" t="s">
        <v>483</v>
      </c>
      <c r="D153" s="58">
        <v>14.83</v>
      </c>
      <c r="E153" s="58" t="s">
        <v>11</v>
      </c>
      <c r="F153" s="59" t="str">
        <f t="shared" si="10"/>
        <v>0011</v>
      </c>
      <c r="G153" s="60"/>
      <c r="H153" s="61">
        <v>1740</v>
      </c>
      <c r="I153" s="61">
        <v>1659</v>
      </c>
      <c r="J153" s="62">
        <f t="shared" si="11"/>
        <v>25804.2</v>
      </c>
      <c r="K153" s="62">
        <f t="shared" si="12"/>
        <v>81</v>
      </c>
      <c r="L153" s="62">
        <f t="shared" si="13"/>
        <v>81</v>
      </c>
      <c r="M153" s="63">
        <f t="shared" si="14"/>
        <v>1201.23</v>
      </c>
    </row>
    <row r="154" spans="1:13" ht="12.75" hidden="1" x14ac:dyDescent="0.2">
      <c r="A154" s="56" t="s">
        <v>246</v>
      </c>
      <c r="B154" s="56" t="s">
        <v>247</v>
      </c>
      <c r="C154" s="57" t="s">
        <v>248</v>
      </c>
      <c r="D154" s="58">
        <v>14.98</v>
      </c>
      <c r="E154" s="58" t="s">
        <v>11</v>
      </c>
      <c r="F154" s="59" t="str">
        <f t="shared" si="10"/>
        <v>0011</v>
      </c>
      <c r="G154" s="60"/>
      <c r="H154" s="61">
        <v>5030</v>
      </c>
      <c r="I154" s="61">
        <v>4950</v>
      </c>
      <c r="J154" s="62">
        <f t="shared" si="11"/>
        <v>75349.400000000009</v>
      </c>
      <c r="K154" s="62">
        <f t="shared" si="12"/>
        <v>80</v>
      </c>
      <c r="L154" s="62">
        <f t="shared" si="13"/>
        <v>80</v>
      </c>
      <c r="M154" s="63">
        <f t="shared" si="14"/>
        <v>1198.4000000000001</v>
      </c>
    </row>
    <row r="155" spans="1:13" ht="12.75" hidden="1" x14ac:dyDescent="0.2">
      <c r="A155" s="56" t="s">
        <v>260</v>
      </c>
      <c r="B155" s="56" t="s">
        <v>261</v>
      </c>
      <c r="C155" s="57" t="s">
        <v>561</v>
      </c>
      <c r="D155" s="58">
        <v>3.1</v>
      </c>
      <c r="E155" s="58" t="s">
        <v>11</v>
      </c>
      <c r="F155" s="59" t="str">
        <f t="shared" si="10"/>
        <v>0011</v>
      </c>
      <c r="G155" s="60"/>
      <c r="H155" s="61">
        <v>7574</v>
      </c>
      <c r="I155" s="61">
        <v>7956</v>
      </c>
      <c r="J155" s="62">
        <f t="shared" si="11"/>
        <v>23479.4</v>
      </c>
      <c r="K155" s="62">
        <f t="shared" si="12"/>
        <v>-382</v>
      </c>
      <c r="L155" s="62">
        <f t="shared" si="13"/>
        <v>-382</v>
      </c>
      <c r="M155" s="63">
        <f t="shared" si="14"/>
        <v>-1184.2</v>
      </c>
    </row>
    <row r="156" spans="1:13" ht="12.75" hidden="1" x14ac:dyDescent="0.2">
      <c r="A156" s="56" t="s">
        <v>123</v>
      </c>
      <c r="B156" s="56" t="s">
        <v>124</v>
      </c>
      <c r="C156" s="57" t="s">
        <v>565</v>
      </c>
      <c r="D156" s="58">
        <v>7.73</v>
      </c>
      <c r="E156" s="58" t="s">
        <v>11</v>
      </c>
      <c r="F156" s="59" t="str">
        <f t="shared" si="10"/>
        <v>0011</v>
      </c>
      <c r="G156" s="60"/>
      <c r="H156" s="61">
        <v>112</v>
      </c>
      <c r="I156" s="61">
        <v>265</v>
      </c>
      <c r="J156" s="62">
        <f t="shared" si="11"/>
        <v>865.76</v>
      </c>
      <c r="K156" s="62">
        <f t="shared" si="12"/>
        <v>-153</v>
      </c>
      <c r="L156" s="62">
        <f t="shared" si="13"/>
        <v>-153</v>
      </c>
      <c r="M156" s="63">
        <f t="shared" si="14"/>
        <v>-1182.69</v>
      </c>
    </row>
    <row r="157" spans="1:13" ht="12.75" hidden="1" x14ac:dyDescent="0.2">
      <c r="A157" s="56" t="s">
        <v>308</v>
      </c>
      <c r="B157" s="56" t="s">
        <v>309</v>
      </c>
      <c r="C157" s="57"/>
      <c r="D157" s="58">
        <v>5</v>
      </c>
      <c r="E157" s="58" t="s">
        <v>11</v>
      </c>
      <c r="F157" s="59" t="str">
        <f t="shared" si="10"/>
        <v>0011</v>
      </c>
      <c r="G157" s="60"/>
      <c r="H157" s="61">
        <v>0</v>
      </c>
      <c r="I157" s="61">
        <v>230</v>
      </c>
      <c r="J157" s="62">
        <f t="shared" si="11"/>
        <v>0</v>
      </c>
      <c r="K157" s="62">
        <f t="shared" si="12"/>
        <v>-230</v>
      </c>
      <c r="L157" s="62">
        <f t="shared" si="13"/>
        <v>-230</v>
      </c>
      <c r="M157" s="63">
        <f t="shared" si="14"/>
        <v>-1150</v>
      </c>
    </row>
    <row r="158" spans="1:13" ht="12.75" hidden="1" x14ac:dyDescent="0.2">
      <c r="A158" s="56" t="s">
        <v>191</v>
      </c>
      <c r="B158" s="56" t="s">
        <v>192</v>
      </c>
      <c r="C158" s="57" t="s">
        <v>16</v>
      </c>
      <c r="D158" s="58">
        <v>142.63</v>
      </c>
      <c r="E158" s="58" t="s">
        <v>11</v>
      </c>
      <c r="F158" s="59" t="str">
        <f t="shared" si="10"/>
        <v>0011</v>
      </c>
      <c r="G158" s="60"/>
      <c r="H158" s="61">
        <v>269</v>
      </c>
      <c r="I158" s="61">
        <v>261</v>
      </c>
      <c r="J158" s="62">
        <f t="shared" si="11"/>
        <v>38367.47</v>
      </c>
      <c r="K158" s="62">
        <f t="shared" si="12"/>
        <v>8</v>
      </c>
      <c r="L158" s="62">
        <f t="shared" si="13"/>
        <v>8</v>
      </c>
      <c r="M158" s="63">
        <f t="shared" si="14"/>
        <v>1141.04</v>
      </c>
    </row>
    <row r="159" spans="1:13" ht="12.75" hidden="1" x14ac:dyDescent="0.2">
      <c r="A159" s="56" t="s">
        <v>133</v>
      </c>
      <c r="B159" s="56" t="s">
        <v>129</v>
      </c>
      <c r="C159" s="57" t="s">
        <v>582</v>
      </c>
      <c r="D159" s="58">
        <v>10.199999999999999</v>
      </c>
      <c r="E159" s="58" t="s">
        <v>11</v>
      </c>
      <c r="F159" s="59" t="str">
        <f t="shared" si="10"/>
        <v>0011</v>
      </c>
      <c r="G159" s="60"/>
      <c r="H159" s="61">
        <v>0</v>
      </c>
      <c r="I159" s="61">
        <v>111</v>
      </c>
      <c r="J159" s="62">
        <f t="shared" si="11"/>
        <v>0</v>
      </c>
      <c r="K159" s="62">
        <f t="shared" si="12"/>
        <v>-111</v>
      </c>
      <c r="L159" s="62">
        <f t="shared" si="13"/>
        <v>-111</v>
      </c>
      <c r="M159" s="63">
        <f t="shared" si="14"/>
        <v>-1132.1999999999998</v>
      </c>
    </row>
    <row r="160" spans="1:13" ht="12.75" hidden="1" x14ac:dyDescent="0.2">
      <c r="A160" s="65" t="s">
        <v>440</v>
      </c>
      <c r="B160" s="65" t="s">
        <v>441</v>
      </c>
      <c r="C160" s="66" t="s">
        <v>674</v>
      </c>
      <c r="D160" s="67">
        <v>93.15</v>
      </c>
      <c r="E160" s="67" t="s">
        <v>11</v>
      </c>
      <c r="F160" s="68" t="str">
        <f t="shared" si="10"/>
        <v>0011</v>
      </c>
      <c r="G160" s="69"/>
      <c r="H160" s="70">
        <v>12</v>
      </c>
      <c r="I160" s="70">
        <v>0</v>
      </c>
      <c r="J160" s="62">
        <f t="shared" si="11"/>
        <v>1117.8000000000002</v>
      </c>
      <c r="K160" s="62">
        <f t="shared" si="12"/>
        <v>12</v>
      </c>
      <c r="L160" s="62">
        <f t="shared" si="13"/>
        <v>12</v>
      </c>
      <c r="M160" s="63">
        <f t="shared" si="14"/>
        <v>1117.8000000000002</v>
      </c>
    </row>
    <row r="161" spans="1:13" ht="12.75" hidden="1" x14ac:dyDescent="0.2">
      <c r="A161" s="56" t="s">
        <v>220</v>
      </c>
      <c r="B161" s="56" t="s">
        <v>221</v>
      </c>
      <c r="C161" s="57" t="s">
        <v>88</v>
      </c>
      <c r="D161" s="58">
        <v>14.83</v>
      </c>
      <c r="E161" s="58" t="s">
        <v>11</v>
      </c>
      <c r="F161" s="59" t="str">
        <f t="shared" si="10"/>
        <v>0011</v>
      </c>
      <c r="G161" s="60"/>
      <c r="H161" s="61">
        <v>3935</v>
      </c>
      <c r="I161" s="61">
        <v>3860</v>
      </c>
      <c r="J161" s="62">
        <f t="shared" si="11"/>
        <v>58356.05</v>
      </c>
      <c r="K161" s="62">
        <f t="shared" si="12"/>
        <v>75</v>
      </c>
      <c r="L161" s="62">
        <f t="shared" si="13"/>
        <v>75</v>
      </c>
      <c r="M161" s="63">
        <f t="shared" si="14"/>
        <v>1112.25</v>
      </c>
    </row>
    <row r="162" spans="1:13" ht="12.75" hidden="1" x14ac:dyDescent="0.2">
      <c r="A162" s="56" t="s">
        <v>42</v>
      </c>
      <c r="B162" s="56" t="s">
        <v>43</v>
      </c>
      <c r="C162" s="57" t="s">
        <v>540</v>
      </c>
      <c r="D162" s="58">
        <v>2.97</v>
      </c>
      <c r="E162" s="58" t="s">
        <v>11</v>
      </c>
      <c r="F162" s="59" t="str">
        <f t="shared" si="10"/>
        <v>0011</v>
      </c>
      <c r="G162" s="60"/>
      <c r="H162" s="61">
        <v>6084</v>
      </c>
      <c r="I162" s="61">
        <v>5714</v>
      </c>
      <c r="J162" s="62">
        <f t="shared" si="11"/>
        <v>18069.48</v>
      </c>
      <c r="K162" s="62">
        <f t="shared" si="12"/>
        <v>370</v>
      </c>
      <c r="L162" s="62">
        <f t="shared" si="13"/>
        <v>370</v>
      </c>
      <c r="M162" s="63">
        <f t="shared" si="14"/>
        <v>1098.9000000000001</v>
      </c>
    </row>
    <row r="163" spans="1:13" ht="12.75" hidden="1" x14ac:dyDescent="0.2">
      <c r="A163" s="56" t="s">
        <v>324</v>
      </c>
      <c r="B163" s="56" t="s">
        <v>325</v>
      </c>
      <c r="C163" s="57" t="s">
        <v>16</v>
      </c>
      <c r="D163" s="58">
        <v>8.9499999999999993</v>
      </c>
      <c r="E163" s="58" t="s">
        <v>11</v>
      </c>
      <c r="F163" s="59" t="str">
        <f t="shared" si="10"/>
        <v>0011</v>
      </c>
      <c r="G163" s="60"/>
      <c r="H163" s="61">
        <v>0</v>
      </c>
      <c r="I163" s="61">
        <v>120</v>
      </c>
      <c r="J163" s="62">
        <f t="shared" si="11"/>
        <v>0</v>
      </c>
      <c r="K163" s="62">
        <f t="shared" si="12"/>
        <v>-120</v>
      </c>
      <c r="L163" s="62">
        <f t="shared" si="13"/>
        <v>-120</v>
      </c>
      <c r="M163" s="63">
        <f t="shared" si="14"/>
        <v>-1074</v>
      </c>
    </row>
    <row r="164" spans="1:13" ht="12.75" hidden="1" x14ac:dyDescent="0.2">
      <c r="A164" s="65" t="s">
        <v>324</v>
      </c>
      <c r="B164" s="65" t="s">
        <v>325</v>
      </c>
      <c r="C164" s="66"/>
      <c r="D164" s="67">
        <v>8.9499999999999993</v>
      </c>
      <c r="E164" s="67" t="s">
        <v>11</v>
      </c>
      <c r="F164" s="68" t="str">
        <f t="shared" si="10"/>
        <v>0011</v>
      </c>
      <c r="G164" s="69"/>
      <c r="H164" s="70">
        <v>120</v>
      </c>
      <c r="I164" s="70">
        <v>0</v>
      </c>
      <c r="J164" s="62">
        <f t="shared" si="11"/>
        <v>1074</v>
      </c>
      <c r="K164" s="62">
        <f t="shared" si="12"/>
        <v>120</v>
      </c>
      <c r="L164" s="62">
        <f t="shared" si="13"/>
        <v>120</v>
      </c>
      <c r="M164" s="63">
        <f t="shared" si="14"/>
        <v>1074</v>
      </c>
    </row>
    <row r="165" spans="1:13" ht="12.75" hidden="1" x14ac:dyDescent="0.2">
      <c r="A165" s="56" t="s">
        <v>287</v>
      </c>
      <c r="B165" s="56" t="s">
        <v>288</v>
      </c>
      <c r="C165" s="57" t="s">
        <v>593</v>
      </c>
      <c r="D165" s="58">
        <v>4.0599999999999996</v>
      </c>
      <c r="E165" s="58" t="s">
        <v>11</v>
      </c>
      <c r="F165" s="59" t="str">
        <f t="shared" si="10"/>
        <v>0011</v>
      </c>
      <c r="G165" s="60"/>
      <c r="H165" s="61">
        <v>664</v>
      </c>
      <c r="I165" s="61">
        <v>408</v>
      </c>
      <c r="J165" s="62">
        <f t="shared" si="11"/>
        <v>2695.8399999999997</v>
      </c>
      <c r="K165" s="62">
        <f t="shared" si="12"/>
        <v>256</v>
      </c>
      <c r="L165" s="62">
        <f t="shared" si="13"/>
        <v>256</v>
      </c>
      <c r="M165" s="63">
        <f t="shared" si="14"/>
        <v>1039.3599999999999</v>
      </c>
    </row>
    <row r="166" spans="1:13" ht="12.75" hidden="1" x14ac:dyDescent="0.2">
      <c r="A166" s="56" t="s">
        <v>42</v>
      </c>
      <c r="B166" s="56" t="s">
        <v>43</v>
      </c>
      <c r="C166" s="57" t="s">
        <v>539</v>
      </c>
      <c r="D166" s="58">
        <v>2.97</v>
      </c>
      <c r="E166" s="58" t="s">
        <v>11</v>
      </c>
      <c r="F166" s="59" t="str">
        <f t="shared" si="10"/>
        <v>0011</v>
      </c>
      <c r="G166" s="60"/>
      <c r="H166" s="61">
        <v>0</v>
      </c>
      <c r="I166" s="61">
        <v>331</v>
      </c>
      <c r="J166" s="62">
        <f t="shared" si="11"/>
        <v>0</v>
      </c>
      <c r="K166" s="62">
        <f t="shared" si="12"/>
        <v>-331</v>
      </c>
      <c r="L166" s="62">
        <f t="shared" si="13"/>
        <v>-331</v>
      </c>
      <c r="M166" s="63">
        <f t="shared" si="14"/>
        <v>-983.07</v>
      </c>
    </row>
    <row r="167" spans="1:13" ht="12.75" hidden="1" x14ac:dyDescent="0.2">
      <c r="A167" s="56" t="s">
        <v>464</v>
      </c>
      <c r="B167" s="56" t="s">
        <v>465</v>
      </c>
      <c r="C167" s="57"/>
      <c r="D167" s="58">
        <v>14.12</v>
      </c>
      <c r="E167" s="58" t="s">
        <v>11</v>
      </c>
      <c r="F167" s="59" t="str">
        <f t="shared" si="10"/>
        <v>0011</v>
      </c>
      <c r="G167" s="60"/>
      <c r="H167" s="61">
        <v>176</v>
      </c>
      <c r="I167" s="61">
        <v>107</v>
      </c>
      <c r="J167" s="62">
        <f t="shared" si="11"/>
        <v>2485.12</v>
      </c>
      <c r="K167" s="62">
        <f t="shared" si="12"/>
        <v>69</v>
      </c>
      <c r="L167" s="62">
        <f t="shared" si="13"/>
        <v>69</v>
      </c>
      <c r="M167" s="63">
        <f t="shared" si="14"/>
        <v>974.28</v>
      </c>
    </row>
    <row r="168" spans="1:13" ht="12.75" hidden="1" x14ac:dyDescent="0.2">
      <c r="A168" s="56" t="s">
        <v>38</v>
      </c>
      <c r="B168" s="56" t="s">
        <v>39</v>
      </c>
      <c r="C168" s="57" t="s">
        <v>530</v>
      </c>
      <c r="D168" s="58">
        <v>2.95</v>
      </c>
      <c r="E168" s="58" t="s">
        <v>11</v>
      </c>
      <c r="F168" s="59" t="str">
        <f t="shared" si="10"/>
        <v>0011</v>
      </c>
      <c r="G168" s="60"/>
      <c r="H168" s="61">
        <v>74</v>
      </c>
      <c r="I168" s="61">
        <v>396</v>
      </c>
      <c r="J168" s="62">
        <f t="shared" si="11"/>
        <v>218.3</v>
      </c>
      <c r="K168" s="62">
        <f t="shared" si="12"/>
        <v>-322</v>
      </c>
      <c r="L168" s="62">
        <f t="shared" si="13"/>
        <v>-322</v>
      </c>
      <c r="M168" s="63">
        <f t="shared" si="14"/>
        <v>-949.90000000000009</v>
      </c>
    </row>
    <row r="169" spans="1:13" ht="12.75" hidden="1" x14ac:dyDescent="0.2">
      <c r="A169" s="56" t="s">
        <v>236</v>
      </c>
      <c r="B169" s="56" t="s">
        <v>237</v>
      </c>
      <c r="C169" s="57" t="s">
        <v>493</v>
      </c>
      <c r="D169" s="58">
        <v>15.08</v>
      </c>
      <c r="E169" s="58" t="s">
        <v>11</v>
      </c>
      <c r="F169" s="59" t="str">
        <f t="shared" si="10"/>
        <v>0011</v>
      </c>
      <c r="G169" s="60"/>
      <c r="H169" s="61">
        <v>2560</v>
      </c>
      <c r="I169" s="61">
        <v>2498</v>
      </c>
      <c r="J169" s="62">
        <f t="shared" si="11"/>
        <v>38604.800000000003</v>
      </c>
      <c r="K169" s="62">
        <f t="shared" si="12"/>
        <v>62</v>
      </c>
      <c r="L169" s="62">
        <f t="shared" si="13"/>
        <v>62</v>
      </c>
      <c r="M169" s="63">
        <f t="shared" si="14"/>
        <v>934.96</v>
      </c>
    </row>
    <row r="170" spans="1:13" ht="12.75" hidden="1" x14ac:dyDescent="0.2">
      <c r="A170" s="56" t="s">
        <v>97</v>
      </c>
      <c r="B170" s="56" t="s">
        <v>98</v>
      </c>
      <c r="C170" s="57" t="s">
        <v>99</v>
      </c>
      <c r="D170" s="58">
        <v>18.18</v>
      </c>
      <c r="E170" s="58" t="s">
        <v>11</v>
      </c>
      <c r="F170" s="59" t="str">
        <f t="shared" si="10"/>
        <v>0011</v>
      </c>
      <c r="G170" s="60"/>
      <c r="H170" s="61">
        <v>0</v>
      </c>
      <c r="I170" s="61">
        <v>50</v>
      </c>
      <c r="J170" s="62">
        <f t="shared" si="11"/>
        <v>0</v>
      </c>
      <c r="K170" s="62">
        <f t="shared" si="12"/>
        <v>-50</v>
      </c>
      <c r="L170" s="62">
        <f t="shared" si="13"/>
        <v>-50</v>
      </c>
      <c r="M170" s="63">
        <f t="shared" si="14"/>
        <v>-909</v>
      </c>
    </row>
    <row r="171" spans="1:13" ht="12.75" hidden="1" x14ac:dyDescent="0.2">
      <c r="A171" s="56" t="s">
        <v>600</v>
      </c>
      <c r="B171" s="56" t="s">
        <v>601</v>
      </c>
      <c r="C171" s="57"/>
      <c r="D171" s="58">
        <v>4.24</v>
      </c>
      <c r="E171" s="58" t="s">
        <v>11</v>
      </c>
      <c r="F171" s="59" t="str">
        <f t="shared" si="10"/>
        <v>0011</v>
      </c>
      <c r="G171" s="60"/>
      <c r="H171" s="61">
        <v>0</v>
      </c>
      <c r="I171" s="61">
        <v>210</v>
      </c>
      <c r="J171" s="62">
        <f t="shared" si="11"/>
        <v>0</v>
      </c>
      <c r="K171" s="62">
        <f t="shared" si="12"/>
        <v>-210</v>
      </c>
      <c r="L171" s="62">
        <f t="shared" si="13"/>
        <v>-210</v>
      </c>
      <c r="M171" s="63">
        <f t="shared" si="14"/>
        <v>-890.40000000000009</v>
      </c>
    </row>
    <row r="172" spans="1:13" ht="12.75" hidden="1" x14ac:dyDescent="0.2">
      <c r="A172" s="56" t="s">
        <v>220</v>
      </c>
      <c r="B172" s="56" t="s">
        <v>221</v>
      </c>
      <c r="C172" s="57" t="s">
        <v>481</v>
      </c>
      <c r="D172" s="58">
        <v>14.83</v>
      </c>
      <c r="E172" s="58" t="s">
        <v>11</v>
      </c>
      <c r="F172" s="59" t="str">
        <f t="shared" si="10"/>
        <v>0011</v>
      </c>
      <c r="G172" s="60"/>
      <c r="H172" s="61">
        <v>300</v>
      </c>
      <c r="I172" s="61">
        <v>240</v>
      </c>
      <c r="J172" s="62">
        <f t="shared" si="11"/>
        <v>4449</v>
      </c>
      <c r="K172" s="62">
        <f t="shared" si="12"/>
        <v>60</v>
      </c>
      <c r="L172" s="62">
        <f t="shared" si="13"/>
        <v>60</v>
      </c>
      <c r="M172" s="63">
        <f t="shared" si="14"/>
        <v>889.8</v>
      </c>
    </row>
    <row r="173" spans="1:13" ht="12.75" hidden="1" x14ac:dyDescent="0.2">
      <c r="A173" s="56" t="s">
        <v>429</v>
      </c>
      <c r="B173" s="56" t="s">
        <v>430</v>
      </c>
      <c r="C173" s="57" t="s">
        <v>431</v>
      </c>
      <c r="D173" s="58">
        <v>39.43</v>
      </c>
      <c r="E173" s="58" t="s">
        <v>11</v>
      </c>
      <c r="F173" s="59" t="str">
        <f t="shared" si="10"/>
        <v>0011</v>
      </c>
      <c r="G173" s="60"/>
      <c r="H173" s="61">
        <v>90</v>
      </c>
      <c r="I173" s="61">
        <v>112</v>
      </c>
      <c r="J173" s="62">
        <f t="shared" si="11"/>
        <v>3548.7</v>
      </c>
      <c r="K173" s="62">
        <f t="shared" si="12"/>
        <v>-22</v>
      </c>
      <c r="L173" s="62">
        <f t="shared" si="13"/>
        <v>-22</v>
      </c>
      <c r="M173" s="63">
        <f t="shared" si="14"/>
        <v>-867.46</v>
      </c>
    </row>
    <row r="174" spans="1:13" ht="12.75" hidden="1" x14ac:dyDescent="0.2">
      <c r="A174" s="56" t="s">
        <v>284</v>
      </c>
      <c r="B174" s="56" t="s">
        <v>285</v>
      </c>
      <c r="C174" s="57" t="s">
        <v>286</v>
      </c>
      <c r="D174" s="58">
        <v>19.5</v>
      </c>
      <c r="E174" s="58" t="s">
        <v>11</v>
      </c>
      <c r="F174" s="59" t="str">
        <f t="shared" si="10"/>
        <v>0011</v>
      </c>
      <c r="G174" s="60"/>
      <c r="H174" s="61">
        <v>103</v>
      </c>
      <c r="I174" s="61">
        <v>60</v>
      </c>
      <c r="J174" s="62">
        <f t="shared" si="11"/>
        <v>2008.5</v>
      </c>
      <c r="K174" s="62">
        <f t="shared" si="12"/>
        <v>43</v>
      </c>
      <c r="L174" s="62">
        <f t="shared" si="13"/>
        <v>43</v>
      </c>
      <c r="M174" s="63">
        <f t="shared" si="14"/>
        <v>838.5</v>
      </c>
    </row>
    <row r="175" spans="1:13" ht="12.75" hidden="1" x14ac:dyDescent="0.2">
      <c r="A175" s="56" t="s">
        <v>58</v>
      </c>
      <c r="B175" s="56" t="s">
        <v>59</v>
      </c>
      <c r="C175" s="57" t="s">
        <v>580</v>
      </c>
      <c r="D175" s="58">
        <v>10.46</v>
      </c>
      <c r="E175" s="58" t="s">
        <v>11</v>
      </c>
      <c r="F175" s="59" t="str">
        <f t="shared" si="10"/>
        <v>0011</v>
      </c>
      <c r="G175" s="60"/>
      <c r="H175" s="61">
        <v>7368</v>
      </c>
      <c r="I175" s="61">
        <v>7448</v>
      </c>
      <c r="J175" s="62">
        <f t="shared" si="11"/>
        <v>77069.280000000013</v>
      </c>
      <c r="K175" s="62">
        <f t="shared" si="12"/>
        <v>-80</v>
      </c>
      <c r="L175" s="62">
        <f t="shared" si="13"/>
        <v>-80</v>
      </c>
      <c r="M175" s="63">
        <f t="shared" si="14"/>
        <v>-836.80000000000007</v>
      </c>
    </row>
    <row r="176" spans="1:13" ht="12.75" hidden="1" x14ac:dyDescent="0.2">
      <c r="A176" s="56" t="s">
        <v>126</v>
      </c>
      <c r="B176" s="56" t="s">
        <v>127</v>
      </c>
      <c r="C176" s="57" t="s">
        <v>273</v>
      </c>
      <c r="D176" s="58">
        <v>3.03</v>
      </c>
      <c r="E176" s="58" t="s">
        <v>11</v>
      </c>
      <c r="F176" s="59" t="str">
        <f t="shared" si="10"/>
        <v>0011</v>
      </c>
      <c r="G176" s="60"/>
      <c r="H176" s="61">
        <v>2345</v>
      </c>
      <c r="I176" s="61">
        <v>2073</v>
      </c>
      <c r="J176" s="62">
        <f t="shared" si="11"/>
        <v>7105.3499999999995</v>
      </c>
      <c r="K176" s="62">
        <f t="shared" si="12"/>
        <v>272</v>
      </c>
      <c r="L176" s="62">
        <f t="shared" si="13"/>
        <v>272</v>
      </c>
      <c r="M176" s="63">
        <f t="shared" si="14"/>
        <v>824.16</v>
      </c>
    </row>
    <row r="177" spans="1:13" ht="12.75" hidden="1" x14ac:dyDescent="0.2">
      <c r="A177" s="56" t="s">
        <v>131</v>
      </c>
      <c r="B177" s="56" t="s">
        <v>130</v>
      </c>
      <c r="C177" s="57" t="s">
        <v>276</v>
      </c>
      <c r="D177" s="58">
        <v>10.210000000000001</v>
      </c>
      <c r="E177" s="58" t="s">
        <v>11</v>
      </c>
      <c r="F177" s="59" t="str">
        <f t="shared" si="10"/>
        <v>0011</v>
      </c>
      <c r="G177" s="60"/>
      <c r="H177" s="61">
        <v>1584</v>
      </c>
      <c r="I177" s="61">
        <v>1504</v>
      </c>
      <c r="J177" s="62">
        <f t="shared" si="11"/>
        <v>16172.640000000001</v>
      </c>
      <c r="K177" s="62">
        <f t="shared" si="12"/>
        <v>80</v>
      </c>
      <c r="L177" s="62">
        <f t="shared" si="13"/>
        <v>80</v>
      </c>
      <c r="M177" s="63">
        <f t="shared" si="14"/>
        <v>816.80000000000007</v>
      </c>
    </row>
    <row r="178" spans="1:13" ht="12.75" hidden="1" x14ac:dyDescent="0.2">
      <c r="A178" s="56" t="s">
        <v>607</v>
      </c>
      <c r="B178" s="56" t="s">
        <v>608</v>
      </c>
      <c r="C178" s="57"/>
      <c r="D178" s="58">
        <v>38.130000000000003</v>
      </c>
      <c r="E178" s="58" t="s">
        <v>11</v>
      </c>
      <c r="F178" s="59" t="str">
        <f t="shared" si="10"/>
        <v>0011</v>
      </c>
      <c r="G178" s="60"/>
      <c r="H178" s="61">
        <v>0</v>
      </c>
      <c r="I178" s="61">
        <v>21</v>
      </c>
      <c r="J178" s="62">
        <f t="shared" si="11"/>
        <v>0</v>
      </c>
      <c r="K178" s="62">
        <f t="shared" si="12"/>
        <v>-21</v>
      </c>
      <c r="L178" s="62">
        <f t="shared" si="13"/>
        <v>-21</v>
      </c>
      <c r="M178" s="63">
        <f t="shared" si="14"/>
        <v>-800.73</v>
      </c>
    </row>
    <row r="179" spans="1:13" ht="12.75" hidden="1" x14ac:dyDescent="0.2">
      <c r="A179" s="56" t="s">
        <v>239</v>
      </c>
      <c r="B179" s="56" t="s">
        <v>240</v>
      </c>
      <c r="C179" s="57" t="s">
        <v>241</v>
      </c>
      <c r="D179" s="58">
        <v>26.36</v>
      </c>
      <c r="E179" s="58" t="s">
        <v>11</v>
      </c>
      <c r="F179" s="59" t="str">
        <f t="shared" si="10"/>
        <v>0011</v>
      </c>
      <c r="G179" s="60"/>
      <c r="H179" s="61">
        <v>0</v>
      </c>
      <c r="I179" s="61">
        <v>30</v>
      </c>
      <c r="J179" s="62">
        <f t="shared" si="11"/>
        <v>0</v>
      </c>
      <c r="K179" s="62">
        <f t="shared" si="12"/>
        <v>-30</v>
      </c>
      <c r="L179" s="62">
        <f t="shared" si="13"/>
        <v>-30</v>
      </c>
      <c r="M179" s="63">
        <f t="shared" si="14"/>
        <v>-790.8</v>
      </c>
    </row>
    <row r="180" spans="1:13" ht="12.75" hidden="1" x14ac:dyDescent="0.2">
      <c r="A180" s="56" t="s">
        <v>405</v>
      </c>
      <c r="B180" s="56" t="s">
        <v>406</v>
      </c>
      <c r="C180" s="57"/>
      <c r="D180" s="58">
        <v>55.61</v>
      </c>
      <c r="E180" s="58" t="s">
        <v>11</v>
      </c>
      <c r="F180" s="59" t="str">
        <f t="shared" si="10"/>
        <v>0011</v>
      </c>
      <c r="G180" s="60"/>
      <c r="H180" s="61">
        <v>0</v>
      </c>
      <c r="I180" s="61">
        <v>14</v>
      </c>
      <c r="J180" s="62">
        <f t="shared" si="11"/>
        <v>0</v>
      </c>
      <c r="K180" s="62">
        <f t="shared" si="12"/>
        <v>-14</v>
      </c>
      <c r="L180" s="62">
        <f t="shared" si="13"/>
        <v>-14</v>
      </c>
      <c r="M180" s="63">
        <f t="shared" si="14"/>
        <v>-778.54</v>
      </c>
    </row>
    <row r="181" spans="1:13" ht="12.75" hidden="1" x14ac:dyDescent="0.2">
      <c r="A181" s="56" t="s">
        <v>232</v>
      </c>
      <c r="B181" s="56" t="s">
        <v>233</v>
      </c>
      <c r="C181" s="57" t="s">
        <v>487</v>
      </c>
      <c r="D181" s="58">
        <v>27.68</v>
      </c>
      <c r="E181" s="58" t="s">
        <v>11</v>
      </c>
      <c r="F181" s="59" t="str">
        <f t="shared" si="10"/>
        <v>0011</v>
      </c>
      <c r="G181" s="60"/>
      <c r="H181" s="61">
        <v>52</v>
      </c>
      <c r="I181" s="61">
        <v>80</v>
      </c>
      <c r="J181" s="62">
        <f t="shared" si="11"/>
        <v>1439.36</v>
      </c>
      <c r="K181" s="62">
        <f t="shared" si="12"/>
        <v>-28</v>
      </c>
      <c r="L181" s="62">
        <f t="shared" si="13"/>
        <v>-28</v>
      </c>
      <c r="M181" s="63">
        <f t="shared" si="14"/>
        <v>-775.04</v>
      </c>
    </row>
    <row r="182" spans="1:13" ht="12.75" hidden="1" x14ac:dyDescent="0.2">
      <c r="A182" s="56" t="s">
        <v>343</v>
      </c>
      <c r="B182" s="56" t="s">
        <v>344</v>
      </c>
      <c r="C182" s="57"/>
      <c r="D182" s="58">
        <v>0.05</v>
      </c>
      <c r="E182" s="58" t="s">
        <v>11</v>
      </c>
      <c r="F182" s="59" t="str">
        <f t="shared" si="10"/>
        <v>0011</v>
      </c>
      <c r="G182" s="60"/>
      <c r="H182" s="61">
        <v>0</v>
      </c>
      <c r="I182" s="61">
        <v>14810</v>
      </c>
      <c r="J182" s="62">
        <f t="shared" si="11"/>
        <v>0</v>
      </c>
      <c r="K182" s="62">
        <f t="shared" si="12"/>
        <v>-14810</v>
      </c>
      <c r="L182" s="62">
        <f t="shared" si="13"/>
        <v>-14810</v>
      </c>
      <c r="M182" s="63">
        <f t="shared" si="14"/>
        <v>-740.5</v>
      </c>
    </row>
    <row r="183" spans="1:13" ht="12.75" hidden="1" x14ac:dyDescent="0.2">
      <c r="A183" s="56" t="s">
        <v>310</v>
      </c>
      <c r="B183" s="56" t="s">
        <v>311</v>
      </c>
      <c r="C183" s="57"/>
      <c r="D183" s="58">
        <v>5</v>
      </c>
      <c r="E183" s="58" t="s">
        <v>11</v>
      </c>
      <c r="F183" s="59" t="str">
        <f t="shared" si="10"/>
        <v>0011</v>
      </c>
      <c r="G183" s="60"/>
      <c r="H183" s="61">
        <v>0</v>
      </c>
      <c r="I183" s="61">
        <v>148</v>
      </c>
      <c r="J183" s="62">
        <f t="shared" si="11"/>
        <v>0</v>
      </c>
      <c r="K183" s="62">
        <f t="shared" si="12"/>
        <v>-148</v>
      </c>
      <c r="L183" s="62">
        <f t="shared" si="13"/>
        <v>-148</v>
      </c>
      <c r="M183" s="63">
        <f t="shared" si="14"/>
        <v>-740</v>
      </c>
    </row>
    <row r="184" spans="1:13" ht="12.75" hidden="1" x14ac:dyDescent="0.2">
      <c r="A184" s="56" t="s">
        <v>51</v>
      </c>
      <c r="B184" s="56" t="s">
        <v>52</v>
      </c>
      <c r="C184" s="57" t="s">
        <v>53</v>
      </c>
      <c r="D184" s="58">
        <v>7.04</v>
      </c>
      <c r="E184" s="58" t="s">
        <v>11</v>
      </c>
      <c r="F184" s="59" t="str">
        <f t="shared" si="10"/>
        <v>0011</v>
      </c>
      <c r="G184" s="60"/>
      <c r="H184" s="61">
        <v>8</v>
      </c>
      <c r="I184" s="61">
        <v>112</v>
      </c>
      <c r="J184" s="62">
        <f t="shared" si="11"/>
        <v>56.32</v>
      </c>
      <c r="K184" s="62">
        <f t="shared" si="12"/>
        <v>-104</v>
      </c>
      <c r="L184" s="62">
        <f t="shared" si="13"/>
        <v>-104</v>
      </c>
      <c r="M184" s="63">
        <f t="shared" si="14"/>
        <v>-732.16</v>
      </c>
    </row>
    <row r="185" spans="1:13" ht="12.75" hidden="1" x14ac:dyDescent="0.2">
      <c r="A185" s="56" t="s">
        <v>137</v>
      </c>
      <c r="B185" s="56" t="s">
        <v>138</v>
      </c>
      <c r="C185" s="57" t="s">
        <v>139</v>
      </c>
      <c r="D185" s="58">
        <v>6.55</v>
      </c>
      <c r="E185" s="58" t="s">
        <v>11</v>
      </c>
      <c r="F185" s="59" t="str">
        <f t="shared" si="10"/>
        <v>0011</v>
      </c>
      <c r="G185" s="60"/>
      <c r="H185" s="61">
        <v>0</v>
      </c>
      <c r="I185" s="61">
        <v>111</v>
      </c>
      <c r="J185" s="62">
        <f t="shared" si="11"/>
        <v>0</v>
      </c>
      <c r="K185" s="62">
        <f t="shared" si="12"/>
        <v>-111</v>
      </c>
      <c r="L185" s="62">
        <f t="shared" si="13"/>
        <v>-111</v>
      </c>
      <c r="M185" s="63">
        <f t="shared" si="14"/>
        <v>-727.05</v>
      </c>
    </row>
    <row r="186" spans="1:13" ht="12.75" hidden="1" x14ac:dyDescent="0.2">
      <c r="A186" s="56" t="s">
        <v>312</v>
      </c>
      <c r="B186" s="56" t="s">
        <v>313</v>
      </c>
      <c r="C186" s="57"/>
      <c r="D186" s="58">
        <v>5</v>
      </c>
      <c r="E186" s="58" t="s">
        <v>11</v>
      </c>
      <c r="F186" s="59" t="str">
        <f t="shared" si="10"/>
        <v>0011</v>
      </c>
      <c r="G186" s="60"/>
      <c r="H186" s="61">
        <v>0</v>
      </c>
      <c r="I186" s="61">
        <v>144</v>
      </c>
      <c r="J186" s="62">
        <f t="shared" si="11"/>
        <v>0</v>
      </c>
      <c r="K186" s="62">
        <f t="shared" si="12"/>
        <v>-144</v>
      </c>
      <c r="L186" s="62">
        <f t="shared" si="13"/>
        <v>-144</v>
      </c>
      <c r="M186" s="63">
        <f t="shared" si="14"/>
        <v>-720</v>
      </c>
    </row>
    <row r="187" spans="1:13" ht="12.75" hidden="1" x14ac:dyDescent="0.2">
      <c r="A187" s="56" t="s">
        <v>214</v>
      </c>
      <c r="B187" s="56" t="s">
        <v>215</v>
      </c>
      <c r="C187" s="57" t="s">
        <v>473</v>
      </c>
      <c r="D187" s="58">
        <v>15.11</v>
      </c>
      <c r="E187" s="58" t="s">
        <v>11</v>
      </c>
      <c r="F187" s="59" t="str">
        <f t="shared" si="10"/>
        <v>0011</v>
      </c>
      <c r="G187" s="60"/>
      <c r="H187" s="61">
        <v>788</v>
      </c>
      <c r="I187" s="61">
        <v>834</v>
      </c>
      <c r="J187" s="62">
        <f t="shared" si="11"/>
        <v>11906.68</v>
      </c>
      <c r="K187" s="62">
        <f t="shared" si="12"/>
        <v>-46</v>
      </c>
      <c r="L187" s="62">
        <f t="shared" si="13"/>
        <v>-46</v>
      </c>
      <c r="M187" s="63">
        <f t="shared" si="14"/>
        <v>-695.06</v>
      </c>
    </row>
    <row r="188" spans="1:13" ht="12.75" hidden="1" x14ac:dyDescent="0.2">
      <c r="A188" s="56" t="s">
        <v>14</v>
      </c>
      <c r="B188" s="56" t="s">
        <v>15</v>
      </c>
      <c r="C188" s="57"/>
      <c r="D188" s="58">
        <v>172.35</v>
      </c>
      <c r="E188" s="58" t="s">
        <v>11</v>
      </c>
      <c r="F188" s="59" t="str">
        <f t="shared" si="10"/>
        <v>0011</v>
      </c>
      <c r="G188" s="60"/>
      <c r="H188" s="61">
        <v>0</v>
      </c>
      <c r="I188" s="61">
        <v>4</v>
      </c>
      <c r="J188" s="62">
        <f t="shared" si="11"/>
        <v>0</v>
      </c>
      <c r="K188" s="62">
        <f t="shared" si="12"/>
        <v>-4</v>
      </c>
      <c r="L188" s="62">
        <f t="shared" si="13"/>
        <v>-4</v>
      </c>
      <c r="M188" s="63">
        <f t="shared" si="14"/>
        <v>-689.4</v>
      </c>
    </row>
    <row r="189" spans="1:13" ht="12.75" hidden="1" x14ac:dyDescent="0.2">
      <c r="A189" s="56" t="s">
        <v>284</v>
      </c>
      <c r="B189" s="56" t="s">
        <v>285</v>
      </c>
      <c r="C189" s="57" t="s">
        <v>588</v>
      </c>
      <c r="D189" s="58">
        <v>19.5</v>
      </c>
      <c r="E189" s="58" t="s">
        <v>11</v>
      </c>
      <c r="F189" s="59" t="str">
        <f t="shared" si="10"/>
        <v>0011</v>
      </c>
      <c r="G189" s="60"/>
      <c r="H189" s="61">
        <v>2088</v>
      </c>
      <c r="I189" s="61">
        <v>2123</v>
      </c>
      <c r="J189" s="62">
        <f t="shared" si="11"/>
        <v>40716</v>
      </c>
      <c r="K189" s="62">
        <f t="shared" si="12"/>
        <v>-35</v>
      </c>
      <c r="L189" s="62">
        <f t="shared" si="13"/>
        <v>-35</v>
      </c>
      <c r="M189" s="63">
        <f t="shared" si="14"/>
        <v>-682.5</v>
      </c>
    </row>
    <row r="190" spans="1:13" ht="12.75" hidden="1" x14ac:dyDescent="0.2">
      <c r="A190" s="56" t="s">
        <v>223</v>
      </c>
      <c r="B190" s="56" t="s">
        <v>224</v>
      </c>
      <c r="C190" s="57" t="s">
        <v>225</v>
      </c>
      <c r="D190" s="58">
        <v>40.14</v>
      </c>
      <c r="E190" s="58" t="s">
        <v>11</v>
      </c>
      <c r="F190" s="59" t="str">
        <f t="shared" si="10"/>
        <v>0011</v>
      </c>
      <c r="G190" s="60"/>
      <c r="H190" s="61">
        <v>2029</v>
      </c>
      <c r="I190" s="61">
        <v>2012</v>
      </c>
      <c r="J190" s="62">
        <f t="shared" si="11"/>
        <v>81444.06</v>
      </c>
      <c r="K190" s="62">
        <f t="shared" si="12"/>
        <v>17</v>
      </c>
      <c r="L190" s="62">
        <f t="shared" si="13"/>
        <v>17</v>
      </c>
      <c r="M190" s="63">
        <f t="shared" si="14"/>
        <v>682.38</v>
      </c>
    </row>
    <row r="191" spans="1:13" ht="12.75" hidden="1" x14ac:dyDescent="0.2">
      <c r="A191" s="56" t="s">
        <v>372</v>
      </c>
      <c r="B191" s="56" t="s">
        <v>77</v>
      </c>
      <c r="C191" s="57"/>
      <c r="D191" s="58">
        <v>6.81</v>
      </c>
      <c r="E191" s="58" t="s">
        <v>11</v>
      </c>
      <c r="F191" s="59" t="str">
        <f t="shared" si="10"/>
        <v>0011</v>
      </c>
      <c r="G191" s="60"/>
      <c r="H191" s="61">
        <v>160</v>
      </c>
      <c r="I191" s="61">
        <v>60</v>
      </c>
      <c r="J191" s="62">
        <f t="shared" si="11"/>
        <v>1089.5999999999999</v>
      </c>
      <c r="K191" s="62">
        <f t="shared" si="12"/>
        <v>100</v>
      </c>
      <c r="L191" s="62">
        <f t="shared" si="13"/>
        <v>100</v>
      </c>
      <c r="M191" s="63">
        <f t="shared" si="14"/>
        <v>681</v>
      </c>
    </row>
    <row r="192" spans="1:13" ht="12.75" hidden="1" x14ac:dyDescent="0.2">
      <c r="A192" s="65" t="s">
        <v>93</v>
      </c>
      <c r="B192" s="65" t="s">
        <v>94</v>
      </c>
      <c r="C192" s="66" t="s">
        <v>662</v>
      </c>
      <c r="D192" s="67">
        <v>11.33</v>
      </c>
      <c r="E192" s="67" t="s">
        <v>11</v>
      </c>
      <c r="F192" s="68" t="str">
        <f t="shared" si="10"/>
        <v>0011</v>
      </c>
      <c r="G192" s="69"/>
      <c r="H192" s="70">
        <v>60</v>
      </c>
      <c r="I192" s="70">
        <v>0</v>
      </c>
      <c r="J192" s="62">
        <f t="shared" si="11"/>
        <v>679.8</v>
      </c>
      <c r="K192" s="62">
        <f t="shared" si="12"/>
        <v>60</v>
      </c>
      <c r="L192" s="62">
        <f t="shared" si="13"/>
        <v>60</v>
      </c>
      <c r="M192" s="63">
        <f t="shared" si="14"/>
        <v>679.8</v>
      </c>
    </row>
    <row r="193" spans="1:13" ht="12.75" hidden="1" x14ac:dyDescent="0.2">
      <c r="A193" s="56" t="s">
        <v>25</v>
      </c>
      <c r="B193" s="56" t="s">
        <v>26</v>
      </c>
      <c r="C193" s="57" t="s">
        <v>506</v>
      </c>
      <c r="D193" s="58">
        <v>6.78</v>
      </c>
      <c r="E193" s="58" t="s">
        <v>11</v>
      </c>
      <c r="F193" s="59" t="str">
        <f t="shared" si="10"/>
        <v>0011</v>
      </c>
      <c r="G193" s="60"/>
      <c r="H193" s="61">
        <v>0</v>
      </c>
      <c r="I193" s="61">
        <v>96</v>
      </c>
      <c r="J193" s="62">
        <f t="shared" si="11"/>
        <v>0</v>
      </c>
      <c r="K193" s="62">
        <f t="shared" si="12"/>
        <v>-96</v>
      </c>
      <c r="L193" s="62">
        <f t="shared" si="13"/>
        <v>-96</v>
      </c>
      <c r="M193" s="63">
        <f t="shared" si="14"/>
        <v>-650.88</v>
      </c>
    </row>
    <row r="194" spans="1:13" ht="12.75" hidden="1" x14ac:dyDescent="0.2">
      <c r="A194" s="56" t="s">
        <v>35</v>
      </c>
      <c r="B194" s="56" t="s">
        <v>36</v>
      </c>
      <c r="C194" s="57" t="s">
        <v>525</v>
      </c>
      <c r="D194" s="58">
        <v>2.97</v>
      </c>
      <c r="E194" s="58" t="s">
        <v>11</v>
      </c>
      <c r="F194" s="59" t="str">
        <f t="shared" si="10"/>
        <v>0011</v>
      </c>
      <c r="G194" s="60"/>
      <c r="H194" s="61">
        <v>9276</v>
      </c>
      <c r="I194" s="61">
        <v>9060</v>
      </c>
      <c r="J194" s="62">
        <f t="shared" si="11"/>
        <v>27549.72</v>
      </c>
      <c r="K194" s="62">
        <f t="shared" si="12"/>
        <v>216</v>
      </c>
      <c r="L194" s="62">
        <f t="shared" si="13"/>
        <v>216</v>
      </c>
      <c r="M194" s="63">
        <f t="shared" si="14"/>
        <v>641.5200000000001</v>
      </c>
    </row>
    <row r="195" spans="1:13" ht="12.75" hidden="1" x14ac:dyDescent="0.2">
      <c r="A195" s="56" t="s">
        <v>217</v>
      </c>
      <c r="B195" s="56" t="s">
        <v>218</v>
      </c>
      <c r="C195" s="57" t="s">
        <v>476</v>
      </c>
      <c r="D195" s="58">
        <v>13.96</v>
      </c>
      <c r="E195" s="58" t="s">
        <v>11</v>
      </c>
      <c r="F195" s="59" t="str">
        <f t="shared" si="10"/>
        <v>0011</v>
      </c>
      <c r="G195" s="60"/>
      <c r="H195" s="61">
        <v>0</v>
      </c>
      <c r="I195" s="61">
        <v>44</v>
      </c>
      <c r="J195" s="62">
        <f t="shared" si="11"/>
        <v>0</v>
      </c>
      <c r="K195" s="62">
        <f t="shared" si="12"/>
        <v>-44</v>
      </c>
      <c r="L195" s="62">
        <f t="shared" si="13"/>
        <v>-44</v>
      </c>
      <c r="M195" s="63">
        <f t="shared" si="14"/>
        <v>-614.24</v>
      </c>
    </row>
    <row r="196" spans="1:13" ht="12.75" hidden="1" x14ac:dyDescent="0.2">
      <c r="A196" s="65" t="s">
        <v>232</v>
      </c>
      <c r="B196" s="65" t="s">
        <v>233</v>
      </c>
      <c r="C196" s="66" t="s">
        <v>235</v>
      </c>
      <c r="D196" s="67">
        <v>27.68</v>
      </c>
      <c r="E196" s="67" t="s">
        <v>11</v>
      </c>
      <c r="F196" s="68" t="str">
        <f t="shared" si="10"/>
        <v>0011</v>
      </c>
      <c r="G196" s="69"/>
      <c r="H196" s="70">
        <v>22</v>
      </c>
      <c r="I196" s="70">
        <v>0</v>
      </c>
      <c r="J196" s="62">
        <f t="shared" si="11"/>
        <v>608.96</v>
      </c>
      <c r="K196" s="62">
        <f t="shared" si="12"/>
        <v>22</v>
      </c>
      <c r="L196" s="62">
        <f t="shared" si="13"/>
        <v>22</v>
      </c>
      <c r="M196" s="63">
        <f t="shared" si="14"/>
        <v>608.96</v>
      </c>
    </row>
    <row r="197" spans="1:13" ht="12.75" hidden="1" x14ac:dyDescent="0.2">
      <c r="A197" s="56" t="s">
        <v>217</v>
      </c>
      <c r="B197" s="56" t="s">
        <v>218</v>
      </c>
      <c r="C197" s="57" t="s">
        <v>478</v>
      </c>
      <c r="D197" s="58">
        <v>13.96</v>
      </c>
      <c r="E197" s="58" t="s">
        <v>11</v>
      </c>
      <c r="F197" s="59" t="str">
        <f t="shared" si="10"/>
        <v>0011</v>
      </c>
      <c r="G197" s="60"/>
      <c r="H197" s="61">
        <v>24</v>
      </c>
      <c r="I197" s="61">
        <v>66</v>
      </c>
      <c r="J197" s="62">
        <f t="shared" si="11"/>
        <v>335.04</v>
      </c>
      <c r="K197" s="62">
        <f t="shared" si="12"/>
        <v>-42</v>
      </c>
      <c r="L197" s="62">
        <f t="shared" si="13"/>
        <v>-42</v>
      </c>
      <c r="M197" s="63">
        <f t="shared" si="14"/>
        <v>-586.32000000000005</v>
      </c>
    </row>
    <row r="198" spans="1:13" ht="12.75" hidden="1" x14ac:dyDescent="0.2">
      <c r="A198" s="56" t="s">
        <v>115</v>
      </c>
      <c r="B198" s="56" t="s">
        <v>116</v>
      </c>
      <c r="C198" s="57" t="s">
        <v>118</v>
      </c>
      <c r="D198" s="58">
        <v>3.62</v>
      </c>
      <c r="E198" s="58" t="s">
        <v>11</v>
      </c>
      <c r="F198" s="59" t="str">
        <f t="shared" si="10"/>
        <v>0011</v>
      </c>
      <c r="G198" s="60"/>
      <c r="H198" s="61">
        <v>0</v>
      </c>
      <c r="I198" s="61">
        <v>159</v>
      </c>
      <c r="J198" s="62">
        <f t="shared" si="11"/>
        <v>0</v>
      </c>
      <c r="K198" s="62">
        <f t="shared" si="12"/>
        <v>-159</v>
      </c>
      <c r="L198" s="62">
        <f t="shared" si="13"/>
        <v>-159</v>
      </c>
      <c r="M198" s="63">
        <f t="shared" si="14"/>
        <v>-575.58000000000004</v>
      </c>
    </row>
    <row r="199" spans="1:13" ht="12.75" hidden="1" x14ac:dyDescent="0.2">
      <c r="A199" s="56" t="s">
        <v>133</v>
      </c>
      <c r="B199" s="56" t="s">
        <v>129</v>
      </c>
      <c r="C199" s="57" t="s">
        <v>583</v>
      </c>
      <c r="D199" s="58">
        <v>10.199999999999999</v>
      </c>
      <c r="E199" s="58" t="s">
        <v>11</v>
      </c>
      <c r="F199" s="59" t="str">
        <f t="shared" si="10"/>
        <v>0011</v>
      </c>
      <c r="G199" s="60"/>
      <c r="H199" s="61">
        <v>0</v>
      </c>
      <c r="I199" s="61">
        <v>56</v>
      </c>
      <c r="J199" s="62">
        <f t="shared" si="11"/>
        <v>0</v>
      </c>
      <c r="K199" s="62">
        <f t="shared" si="12"/>
        <v>-56</v>
      </c>
      <c r="L199" s="62">
        <f t="shared" si="13"/>
        <v>-56</v>
      </c>
      <c r="M199" s="63">
        <f t="shared" si="14"/>
        <v>-571.19999999999993</v>
      </c>
    </row>
    <row r="200" spans="1:13" ht="12.75" hidden="1" x14ac:dyDescent="0.2">
      <c r="A200" s="65" t="s">
        <v>58</v>
      </c>
      <c r="B200" s="65" t="s">
        <v>59</v>
      </c>
      <c r="C200" s="66" t="s">
        <v>279</v>
      </c>
      <c r="D200" s="67">
        <v>10.46</v>
      </c>
      <c r="E200" s="67" t="s">
        <v>11</v>
      </c>
      <c r="F200" s="68" t="str">
        <f t="shared" ref="F200:F263" si="15">+$M$3</f>
        <v>0011</v>
      </c>
      <c r="G200" s="69"/>
      <c r="H200" s="70">
        <v>54</v>
      </c>
      <c r="I200" s="70">
        <v>0</v>
      </c>
      <c r="J200" s="62">
        <f t="shared" ref="J200:J263" si="16">D200*H200</f>
        <v>564.84</v>
      </c>
      <c r="K200" s="62">
        <f t="shared" ref="K200:K263" si="17">H200-I200</f>
        <v>54</v>
      </c>
      <c r="L200" s="62">
        <f t="shared" ref="L200:L263" si="18">H200-I200</f>
        <v>54</v>
      </c>
      <c r="M200" s="63">
        <f t="shared" ref="M200:M263" si="19">L200*D200</f>
        <v>564.84</v>
      </c>
    </row>
    <row r="201" spans="1:13" ht="12.75" hidden="1" x14ac:dyDescent="0.2">
      <c r="A201" s="56" t="s">
        <v>229</v>
      </c>
      <c r="B201" s="56" t="s">
        <v>230</v>
      </c>
      <c r="C201" s="57" t="s">
        <v>231</v>
      </c>
      <c r="D201" s="58">
        <v>9.83</v>
      </c>
      <c r="E201" s="58" t="s">
        <v>11</v>
      </c>
      <c r="F201" s="59" t="str">
        <f t="shared" si="15"/>
        <v>0011</v>
      </c>
      <c r="G201" s="60"/>
      <c r="H201" s="61">
        <v>1044</v>
      </c>
      <c r="I201" s="61">
        <v>1100</v>
      </c>
      <c r="J201" s="62">
        <f t="shared" si="16"/>
        <v>10262.52</v>
      </c>
      <c r="K201" s="62">
        <f t="shared" si="17"/>
        <v>-56</v>
      </c>
      <c r="L201" s="62">
        <f t="shared" si="18"/>
        <v>-56</v>
      </c>
      <c r="M201" s="63">
        <f t="shared" si="19"/>
        <v>-550.48</v>
      </c>
    </row>
    <row r="202" spans="1:13" ht="12.75" hidden="1" x14ac:dyDescent="0.2">
      <c r="A202" s="56" t="s">
        <v>214</v>
      </c>
      <c r="B202" s="56" t="s">
        <v>215</v>
      </c>
      <c r="C202" s="57" t="s">
        <v>216</v>
      </c>
      <c r="D202" s="58">
        <v>15.11</v>
      </c>
      <c r="E202" s="58" t="s">
        <v>11</v>
      </c>
      <c r="F202" s="59" t="str">
        <f t="shared" si="15"/>
        <v>0011</v>
      </c>
      <c r="G202" s="60"/>
      <c r="H202" s="61">
        <v>726</v>
      </c>
      <c r="I202" s="61">
        <v>762</v>
      </c>
      <c r="J202" s="62">
        <f t="shared" si="16"/>
        <v>10969.859999999999</v>
      </c>
      <c r="K202" s="62">
        <f t="shared" si="17"/>
        <v>-36</v>
      </c>
      <c r="L202" s="62">
        <f t="shared" si="18"/>
        <v>-36</v>
      </c>
      <c r="M202" s="63">
        <f t="shared" si="19"/>
        <v>-543.96</v>
      </c>
    </row>
    <row r="203" spans="1:13" ht="12.75" hidden="1" x14ac:dyDescent="0.2">
      <c r="A203" s="65" t="s">
        <v>58</v>
      </c>
      <c r="B203" s="65" t="s">
        <v>59</v>
      </c>
      <c r="C203" s="66" t="s">
        <v>278</v>
      </c>
      <c r="D203" s="67">
        <v>10.46</v>
      </c>
      <c r="E203" s="67" t="s">
        <v>11</v>
      </c>
      <c r="F203" s="68" t="str">
        <f t="shared" si="15"/>
        <v>0011</v>
      </c>
      <c r="G203" s="69"/>
      <c r="H203" s="70">
        <v>52</v>
      </c>
      <c r="I203" s="70">
        <v>0</v>
      </c>
      <c r="J203" s="62">
        <f t="shared" si="16"/>
        <v>543.92000000000007</v>
      </c>
      <c r="K203" s="62">
        <f t="shared" si="17"/>
        <v>52</v>
      </c>
      <c r="L203" s="62">
        <f t="shared" si="18"/>
        <v>52</v>
      </c>
      <c r="M203" s="63">
        <f t="shared" si="19"/>
        <v>543.92000000000007</v>
      </c>
    </row>
    <row r="204" spans="1:13" ht="12.75" hidden="1" x14ac:dyDescent="0.2">
      <c r="A204" s="56" t="s">
        <v>25</v>
      </c>
      <c r="B204" s="56" t="s">
        <v>26</v>
      </c>
      <c r="C204" s="57" t="s">
        <v>508</v>
      </c>
      <c r="D204" s="58">
        <v>6.78</v>
      </c>
      <c r="E204" s="58" t="s">
        <v>11</v>
      </c>
      <c r="F204" s="59" t="str">
        <f t="shared" si="15"/>
        <v>0011</v>
      </c>
      <c r="G204" s="60"/>
      <c r="H204" s="61">
        <v>5840</v>
      </c>
      <c r="I204" s="61">
        <v>5760</v>
      </c>
      <c r="J204" s="62">
        <f t="shared" si="16"/>
        <v>39595.200000000004</v>
      </c>
      <c r="K204" s="62">
        <f t="shared" si="17"/>
        <v>80</v>
      </c>
      <c r="L204" s="62">
        <f t="shared" si="18"/>
        <v>80</v>
      </c>
      <c r="M204" s="63">
        <f t="shared" si="19"/>
        <v>542.4</v>
      </c>
    </row>
    <row r="205" spans="1:13" ht="12.75" hidden="1" x14ac:dyDescent="0.2">
      <c r="A205" s="56" t="s">
        <v>605</v>
      </c>
      <c r="B205" s="56" t="s">
        <v>606</v>
      </c>
      <c r="C205" s="57"/>
      <c r="D205" s="58">
        <v>38.56</v>
      </c>
      <c r="E205" s="58" t="s">
        <v>11</v>
      </c>
      <c r="F205" s="59" t="str">
        <f t="shared" si="15"/>
        <v>0011</v>
      </c>
      <c r="G205" s="60"/>
      <c r="H205" s="61">
        <v>0</v>
      </c>
      <c r="I205" s="61">
        <v>14</v>
      </c>
      <c r="J205" s="62">
        <f t="shared" si="16"/>
        <v>0</v>
      </c>
      <c r="K205" s="62">
        <f t="shared" si="17"/>
        <v>-14</v>
      </c>
      <c r="L205" s="62">
        <f t="shared" si="18"/>
        <v>-14</v>
      </c>
      <c r="M205" s="63">
        <f t="shared" si="19"/>
        <v>-539.84</v>
      </c>
    </row>
    <row r="206" spans="1:13" ht="12.75" hidden="1" x14ac:dyDescent="0.2">
      <c r="A206" s="56" t="s">
        <v>42</v>
      </c>
      <c r="B206" s="56" t="s">
        <v>43</v>
      </c>
      <c r="C206" s="57" t="s">
        <v>538</v>
      </c>
      <c r="D206" s="58">
        <v>2.97</v>
      </c>
      <c r="E206" s="58" t="s">
        <v>11</v>
      </c>
      <c r="F206" s="59" t="str">
        <f t="shared" si="15"/>
        <v>0011</v>
      </c>
      <c r="G206" s="60"/>
      <c r="H206" s="61">
        <v>0</v>
      </c>
      <c r="I206" s="61">
        <v>180</v>
      </c>
      <c r="J206" s="62">
        <f t="shared" si="16"/>
        <v>0</v>
      </c>
      <c r="K206" s="62">
        <f t="shared" si="17"/>
        <v>-180</v>
      </c>
      <c r="L206" s="62">
        <f t="shared" si="18"/>
        <v>-180</v>
      </c>
      <c r="M206" s="63">
        <f t="shared" si="19"/>
        <v>-534.6</v>
      </c>
    </row>
    <row r="207" spans="1:13" ht="12.75" hidden="1" x14ac:dyDescent="0.2">
      <c r="A207" s="56" t="s">
        <v>44</v>
      </c>
      <c r="B207" s="56" t="s">
        <v>45</v>
      </c>
      <c r="C207" s="57" t="s">
        <v>543</v>
      </c>
      <c r="D207" s="58">
        <v>2.95</v>
      </c>
      <c r="E207" s="58" t="s">
        <v>11</v>
      </c>
      <c r="F207" s="59" t="str">
        <f t="shared" si="15"/>
        <v>0011</v>
      </c>
      <c r="G207" s="60"/>
      <c r="H207" s="61">
        <v>0</v>
      </c>
      <c r="I207" s="61">
        <v>180</v>
      </c>
      <c r="J207" s="62">
        <f t="shared" si="16"/>
        <v>0</v>
      </c>
      <c r="K207" s="62">
        <f t="shared" si="17"/>
        <v>-180</v>
      </c>
      <c r="L207" s="62">
        <f t="shared" si="18"/>
        <v>-180</v>
      </c>
      <c r="M207" s="63">
        <f t="shared" si="19"/>
        <v>-531</v>
      </c>
    </row>
    <row r="208" spans="1:13" ht="12.75" hidden="1" x14ac:dyDescent="0.2">
      <c r="A208" s="56" t="s">
        <v>133</v>
      </c>
      <c r="B208" s="56" t="s">
        <v>129</v>
      </c>
      <c r="C208" s="57" t="s">
        <v>282</v>
      </c>
      <c r="D208" s="58">
        <v>10.199999999999999</v>
      </c>
      <c r="E208" s="58" t="s">
        <v>11</v>
      </c>
      <c r="F208" s="59" t="str">
        <f t="shared" si="15"/>
        <v>0011</v>
      </c>
      <c r="G208" s="60"/>
      <c r="H208" s="61">
        <v>0</v>
      </c>
      <c r="I208" s="61">
        <v>51</v>
      </c>
      <c r="J208" s="62">
        <f t="shared" si="16"/>
        <v>0</v>
      </c>
      <c r="K208" s="62">
        <f t="shared" si="17"/>
        <v>-51</v>
      </c>
      <c r="L208" s="62">
        <f t="shared" si="18"/>
        <v>-51</v>
      </c>
      <c r="M208" s="63">
        <f t="shared" si="19"/>
        <v>-520.19999999999993</v>
      </c>
    </row>
    <row r="209" spans="1:13" ht="12.75" hidden="1" x14ac:dyDescent="0.2">
      <c r="A209" s="56" t="s">
        <v>70</v>
      </c>
      <c r="B209" s="56" t="s">
        <v>71</v>
      </c>
      <c r="C209" s="57" t="s">
        <v>16</v>
      </c>
      <c r="D209" s="58">
        <v>86.67</v>
      </c>
      <c r="E209" s="58" t="s">
        <v>11</v>
      </c>
      <c r="F209" s="59" t="str">
        <f t="shared" si="15"/>
        <v>0011</v>
      </c>
      <c r="G209" s="60"/>
      <c r="H209" s="61">
        <v>8</v>
      </c>
      <c r="I209" s="61">
        <v>2</v>
      </c>
      <c r="J209" s="62">
        <f t="shared" si="16"/>
        <v>693.36</v>
      </c>
      <c r="K209" s="62">
        <f t="shared" si="17"/>
        <v>6</v>
      </c>
      <c r="L209" s="62">
        <f t="shared" si="18"/>
        <v>6</v>
      </c>
      <c r="M209" s="63">
        <f t="shared" si="19"/>
        <v>520.02</v>
      </c>
    </row>
    <row r="210" spans="1:13" ht="12.75" hidden="1" x14ac:dyDescent="0.2">
      <c r="A210" s="56" t="s">
        <v>55</v>
      </c>
      <c r="B210" s="56" t="s">
        <v>56</v>
      </c>
      <c r="C210" s="57" t="s">
        <v>572</v>
      </c>
      <c r="D210" s="58">
        <v>3.32</v>
      </c>
      <c r="E210" s="58" t="s">
        <v>11</v>
      </c>
      <c r="F210" s="59" t="str">
        <f t="shared" si="15"/>
        <v>0011</v>
      </c>
      <c r="G210" s="60"/>
      <c r="H210" s="61">
        <v>0</v>
      </c>
      <c r="I210" s="61">
        <v>155</v>
      </c>
      <c r="J210" s="62">
        <f t="shared" si="16"/>
        <v>0</v>
      </c>
      <c r="K210" s="62">
        <f t="shared" si="17"/>
        <v>-155</v>
      </c>
      <c r="L210" s="62">
        <f t="shared" si="18"/>
        <v>-155</v>
      </c>
      <c r="M210" s="63">
        <f t="shared" si="19"/>
        <v>-514.6</v>
      </c>
    </row>
    <row r="211" spans="1:13" ht="12.75" hidden="1" x14ac:dyDescent="0.2">
      <c r="A211" s="56" t="s">
        <v>246</v>
      </c>
      <c r="B211" s="56" t="s">
        <v>247</v>
      </c>
      <c r="C211" s="57" t="s">
        <v>500</v>
      </c>
      <c r="D211" s="58">
        <v>14.98</v>
      </c>
      <c r="E211" s="58" t="s">
        <v>11</v>
      </c>
      <c r="F211" s="59" t="str">
        <f t="shared" si="15"/>
        <v>0011</v>
      </c>
      <c r="G211" s="60"/>
      <c r="H211" s="61">
        <v>402</v>
      </c>
      <c r="I211" s="61">
        <v>436</v>
      </c>
      <c r="J211" s="62">
        <f t="shared" si="16"/>
        <v>6021.96</v>
      </c>
      <c r="K211" s="62">
        <f t="shared" si="17"/>
        <v>-34</v>
      </c>
      <c r="L211" s="62">
        <f t="shared" si="18"/>
        <v>-34</v>
      </c>
      <c r="M211" s="63">
        <f t="shared" si="19"/>
        <v>-509.32</v>
      </c>
    </row>
    <row r="212" spans="1:13" ht="12.75" hidden="1" x14ac:dyDescent="0.2">
      <c r="A212" s="56" t="s">
        <v>25</v>
      </c>
      <c r="B212" s="56" t="s">
        <v>26</v>
      </c>
      <c r="C212" s="57" t="s">
        <v>101</v>
      </c>
      <c r="D212" s="58">
        <v>6.78</v>
      </c>
      <c r="E212" s="58" t="s">
        <v>11</v>
      </c>
      <c r="F212" s="59" t="str">
        <f t="shared" si="15"/>
        <v>0011</v>
      </c>
      <c r="G212" s="60"/>
      <c r="H212" s="61">
        <v>107</v>
      </c>
      <c r="I212" s="61">
        <v>32</v>
      </c>
      <c r="J212" s="62">
        <f t="shared" si="16"/>
        <v>725.46</v>
      </c>
      <c r="K212" s="62">
        <f t="shared" si="17"/>
        <v>75</v>
      </c>
      <c r="L212" s="62">
        <f t="shared" si="18"/>
        <v>75</v>
      </c>
      <c r="M212" s="63">
        <f t="shared" si="19"/>
        <v>508.5</v>
      </c>
    </row>
    <row r="213" spans="1:13" ht="12.75" hidden="1" x14ac:dyDescent="0.2">
      <c r="A213" s="56" t="s">
        <v>217</v>
      </c>
      <c r="B213" s="56" t="s">
        <v>218</v>
      </c>
      <c r="C213" s="57" t="s">
        <v>477</v>
      </c>
      <c r="D213" s="58">
        <v>13.96</v>
      </c>
      <c r="E213" s="58" t="s">
        <v>11</v>
      </c>
      <c r="F213" s="59" t="str">
        <f t="shared" si="15"/>
        <v>0011</v>
      </c>
      <c r="G213" s="60"/>
      <c r="H213" s="61">
        <v>36</v>
      </c>
      <c r="I213" s="61">
        <v>72</v>
      </c>
      <c r="J213" s="62">
        <f t="shared" si="16"/>
        <v>502.56000000000006</v>
      </c>
      <c r="K213" s="62">
        <f t="shared" si="17"/>
        <v>-36</v>
      </c>
      <c r="L213" s="62">
        <f t="shared" si="18"/>
        <v>-36</v>
      </c>
      <c r="M213" s="63">
        <f t="shared" si="19"/>
        <v>-502.56000000000006</v>
      </c>
    </row>
    <row r="214" spans="1:13" ht="12.75" hidden="1" x14ac:dyDescent="0.2">
      <c r="A214" s="65" t="s">
        <v>217</v>
      </c>
      <c r="B214" s="65" t="s">
        <v>218</v>
      </c>
      <c r="C214" s="66" t="s">
        <v>666</v>
      </c>
      <c r="D214" s="67">
        <v>13.96</v>
      </c>
      <c r="E214" s="67" t="s">
        <v>11</v>
      </c>
      <c r="F214" s="68" t="str">
        <f t="shared" si="15"/>
        <v>0011</v>
      </c>
      <c r="G214" s="69"/>
      <c r="H214" s="70">
        <v>36</v>
      </c>
      <c r="I214" s="70">
        <v>0</v>
      </c>
      <c r="J214" s="62">
        <f t="shared" si="16"/>
        <v>502.56000000000006</v>
      </c>
      <c r="K214" s="62">
        <f t="shared" si="17"/>
        <v>36</v>
      </c>
      <c r="L214" s="62">
        <f t="shared" si="18"/>
        <v>36</v>
      </c>
      <c r="M214" s="63">
        <f t="shared" si="19"/>
        <v>502.56000000000006</v>
      </c>
    </row>
    <row r="215" spans="1:13" ht="12.75" hidden="1" x14ac:dyDescent="0.2">
      <c r="A215" s="56" t="s">
        <v>93</v>
      </c>
      <c r="B215" s="56" t="s">
        <v>94</v>
      </c>
      <c r="C215" s="57" t="s">
        <v>213</v>
      </c>
      <c r="D215" s="58">
        <v>11.33</v>
      </c>
      <c r="E215" s="58" t="s">
        <v>11</v>
      </c>
      <c r="F215" s="59" t="str">
        <f t="shared" si="15"/>
        <v>0011</v>
      </c>
      <c r="G215" s="60"/>
      <c r="H215" s="61">
        <v>1682</v>
      </c>
      <c r="I215" s="61">
        <v>1638</v>
      </c>
      <c r="J215" s="62">
        <f t="shared" si="16"/>
        <v>19057.060000000001</v>
      </c>
      <c r="K215" s="62">
        <f t="shared" si="17"/>
        <v>44</v>
      </c>
      <c r="L215" s="62">
        <f t="shared" si="18"/>
        <v>44</v>
      </c>
      <c r="M215" s="63">
        <f t="shared" si="19"/>
        <v>498.52</v>
      </c>
    </row>
    <row r="216" spans="1:13" ht="12.75" hidden="1" x14ac:dyDescent="0.2">
      <c r="A216" s="65" t="s">
        <v>123</v>
      </c>
      <c r="B216" s="65" t="s">
        <v>124</v>
      </c>
      <c r="C216" s="66" t="s">
        <v>624</v>
      </c>
      <c r="D216" s="67">
        <v>7.73</v>
      </c>
      <c r="E216" s="67" t="s">
        <v>11</v>
      </c>
      <c r="F216" s="68" t="str">
        <f t="shared" si="15"/>
        <v>0011</v>
      </c>
      <c r="G216" s="69"/>
      <c r="H216" s="70">
        <v>64</v>
      </c>
      <c r="I216" s="70">
        <v>0</v>
      </c>
      <c r="J216" s="62">
        <f t="shared" si="16"/>
        <v>494.72</v>
      </c>
      <c r="K216" s="62">
        <f t="shared" si="17"/>
        <v>64</v>
      </c>
      <c r="L216" s="62">
        <f t="shared" si="18"/>
        <v>64</v>
      </c>
      <c r="M216" s="63">
        <f t="shared" si="19"/>
        <v>494.72</v>
      </c>
    </row>
    <row r="217" spans="1:13" ht="12.75" hidden="1" x14ac:dyDescent="0.2">
      <c r="A217" s="65" t="s">
        <v>429</v>
      </c>
      <c r="B217" s="65" t="s">
        <v>430</v>
      </c>
      <c r="C217" s="66" t="s">
        <v>670</v>
      </c>
      <c r="D217" s="67">
        <v>39.43</v>
      </c>
      <c r="E217" s="67" t="s">
        <v>11</v>
      </c>
      <c r="F217" s="68" t="str">
        <f t="shared" si="15"/>
        <v>0011</v>
      </c>
      <c r="G217" s="69"/>
      <c r="H217" s="70">
        <v>12</v>
      </c>
      <c r="I217" s="70">
        <v>0</v>
      </c>
      <c r="J217" s="62">
        <f t="shared" si="16"/>
        <v>473.15999999999997</v>
      </c>
      <c r="K217" s="62">
        <f t="shared" si="17"/>
        <v>12</v>
      </c>
      <c r="L217" s="62">
        <f t="shared" si="18"/>
        <v>12</v>
      </c>
      <c r="M217" s="63">
        <f t="shared" si="19"/>
        <v>473.15999999999997</v>
      </c>
    </row>
    <row r="218" spans="1:13" ht="12.75" hidden="1" x14ac:dyDescent="0.2">
      <c r="A218" s="56" t="s">
        <v>97</v>
      </c>
      <c r="B218" s="56" t="s">
        <v>98</v>
      </c>
      <c r="C218" s="57" t="s">
        <v>505</v>
      </c>
      <c r="D218" s="58">
        <v>18.18</v>
      </c>
      <c r="E218" s="58" t="s">
        <v>11</v>
      </c>
      <c r="F218" s="59" t="str">
        <f t="shared" si="15"/>
        <v>0011</v>
      </c>
      <c r="G218" s="60"/>
      <c r="H218" s="61">
        <v>2560</v>
      </c>
      <c r="I218" s="61">
        <v>2534</v>
      </c>
      <c r="J218" s="62">
        <f t="shared" si="16"/>
        <v>46540.800000000003</v>
      </c>
      <c r="K218" s="62">
        <f t="shared" si="17"/>
        <v>26</v>
      </c>
      <c r="L218" s="62">
        <f t="shared" si="18"/>
        <v>26</v>
      </c>
      <c r="M218" s="63">
        <f t="shared" si="19"/>
        <v>472.68</v>
      </c>
    </row>
    <row r="219" spans="1:13" ht="12.75" hidden="1" x14ac:dyDescent="0.2">
      <c r="A219" s="56" t="s">
        <v>318</v>
      </c>
      <c r="B219" s="56" t="s">
        <v>319</v>
      </c>
      <c r="C219" s="57"/>
      <c r="D219" s="58">
        <v>57.56</v>
      </c>
      <c r="E219" s="58" t="s">
        <v>11</v>
      </c>
      <c r="F219" s="59" t="str">
        <f t="shared" si="15"/>
        <v>0011</v>
      </c>
      <c r="G219" s="60"/>
      <c r="H219" s="61">
        <v>0</v>
      </c>
      <c r="I219" s="61">
        <v>8</v>
      </c>
      <c r="J219" s="62">
        <f t="shared" si="16"/>
        <v>0</v>
      </c>
      <c r="K219" s="62">
        <f t="shared" si="17"/>
        <v>-8</v>
      </c>
      <c r="L219" s="62">
        <f t="shared" si="18"/>
        <v>-8</v>
      </c>
      <c r="M219" s="63">
        <f t="shared" si="19"/>
        <v>-460.48</v>
      </c>
    </row>
    <row r="220" spans="1:13" ht="12.75" hidden="1" x14ac:dyDescent="0.2">
      <c r="A220" s="56" t="s">
        <v>35</v>
      </c>
      <c r="B220" s="56" t="s">
        <v>36</v>
      </c>
      <c r="C220" s="57" t="s">
        <v>522</v>
      </c>
      <c r="D220" s="58">
        <v>2.97</v>
      </c>
      <c r="E220" s="58" t="s">
        <v>11</v>
      </c>
      <c r="F220" s="59" t="str">
        <f t="shared" si="15"/>
        <v>0011</v>
      </c>
      <c r="G220" s="60"/>
      <c r="H220" s="61">
        <v>10</v>
      </c>
      <c r="I220" s="61">
        <v>160</v>
      </c>
      <c r="J220" s="62">
        <f t="shared" si="16"/>
        <v>29.700000000000003</v>
      </c>
      <c r="K220" s="62">
        <f t="shared" si="17"/>
        <v>-150</v>
      </c>
      <c r="L220" s="62">
        <f t="shared" si="18"/>
        <v>-150</v>
      </c>
      <c r="M220" s="63">
        <f t="shared" si="19"/>
        <v>-445.50000000000006</v>
      </c>
    </row>
    <row r="221" spans="1:13" ht="12.75" hidden="1" x14ac:dyDescent="0.2">
      <c r="A221" s="56" t="s">
        <v>287</v>
      </c>
      <c r="B221" s="56" t="s">
        <v>288</v>
      </c>
      <c r="C221" s="57" t="s">
        <v>592</v>
      </c>
      <c r="D221" s="58">
        <v>4.0599999999999996</v>
      </c>
      <c r="E221" s="58" t="s">
        <v>11</v>
      </c>
      <c r="F221" s="59" t="str">
        <f t="shared" si="15"/>
        <v>0011</v>
      </c>
      <c r="G221" s="60"/>
      <c r="H221" s="61">
        <v>11</v>
      </c>
      <c r="I221" s="61">
        <v>111</v>
      </c>
      <c r="J221" s="62">
        <f t="shared" si="16"/>
        <v>44.66</v>
      </c>
      <c r="K221" s="62">
        <f t="shared" si="17"/>
        <v>-100</v>
      </c>
      <c r="L221" s="62">
        <f t="shared" si="18"/>
        <v>-100</v>
      </c>
      <c r="M221" s="63">
        <f t="shared" si="19"/>
        <v>-405.99999999999994</v>
      </c>
    </row>
    <row r="222" spans="1:13" ht="12.75" hidden="1" x14ac:dyDescent="0.2">
      <c r="A222" s="65" t="s">
        <v>318</v>
      </c>
      <c r="B222" s="65" t="s">
        <v>319</v>
      </c>
      <c r="C222" s="66" t="s">
        <v>16</v>
      </c>
      <c r="D222" s="67">
        <v>57.56</v>
      </c>
      <c r="E222" s="67" t="s">
        <v>11</v>
      </c>
      <c r="F222" s="68" t="str">
        <f t="shared" si="15"/>
        <v>0011</v>
      </c>
      <c r="G222" s="69"/>
      <c r="H222" s="70">
        <v>7</v>
      </c>
      <c r="I222" s="70">
        <v>0</v>
      </c>
      <c r="J222" s="62">
        <f t="shared" si="16"/>
        <v>402.92</v>
      </c>
      <c r="K222" s="62">
        <f t="shared" si="17"/>
        <v>7</v>
      </c>
      <c r="L222" s="62">
        <f t="shared" si="18"/>
        <v>7</v>
      </c>
      <c r="M222" s="63">
        <f t="shared" si="19"/>
        <v>402.92</v>
      </c>
    </row>
    <row r="223" spans="1:13" ht="12.75" hidden="1" x14ac:dyDescent="0.2">
      <c r="A223" s="56" t="s">
        <v>287</v>
      </c>
      <c r="B223" s="56" t="s">
        <v>288</v>
      </c>
      <c r="C223" s="57" t="s">
        <v>289</v>
      </c>
      <c r="D223" s="58">
        <v>4.0599999999999996</v>
      </c>
      <c r="E223" s="58" t="s">
        <v>11</v>
      </c>
      <c r="F223" s="59" t="str">
        <f t="shared" si="15"/>
        <v>0011</v>
      </c>
      <c r="G223" s="60"/>
      <c r="H223" s="61">
        <v>0</v>
      </c>
      <c r="I223" s="61">
        <v>98</v>
      </c>
      <c r="J223" s="62">
        <f t="shared" si="16"/>
        <v>0</v>
      </c>
      <c r="K223" s="62">
        <f t="shared" si="17"/>
        <v>-98</v>
      </c>
      <c r="L223" s="62">
        <f t="shared" si="18"/>
        <v>-98</v>
      </c>
      <c r="M223" s="63">
        <f t="shared" si="19"/>
        <v>-397.87999999999994</v>
      </c>
    </row>
    <row r="224" spans="1:13" ht="12.75" hidden="1" x14ac:dyDescent="0.2">
      <c r="A224" s="56" t="s">
        <v>595</v>
      </c>
      <c r="B224" s="56" t="s">
        <v>596</v>
      </c>
      <c r="C224" s="57" t="s">
        <v>597</v>
      </c>
      <c r="D224" s="58">
        <v>5.35</v>
      </c>
      <c r="E224" s="58" t="s">
        <v>11</v>
      </c>
      <c r="F224" s="59" t="str">
        <f t="shared" si="15"/>
        <v>0011</v>
      </c>
      <c r="G224" s="60"/>
      <c r="H224" s="61">
        <v>0</v>
      </c>
      <c r="I224" s="61">
        <v>74</v>
      </c>
      <c r="J224" s="62">
        <f t="shared" si="16"/>
        <v>0</v>
      </c>
      <c r="K224" s="62">
        <f t="shared" si="17"/>
        <v>-74</v>
      </c>
      <c r="L224" s="62">
        <f t="shared" si="18"/>
        <v>-74</v>
      </c>
      <c r="M224" s="63">
        <f t="shared" si="19"/>
        <v>-395.9</v>
      </c>
    </row>
    <row r="225" spans="1:13" ht="12.75" hidden="1" x14ac:dyDescent="0.2">
      <c r="A225" s="56" t="s">
        <v>226</v>
      </c>
      <c r="B225" s="56" t="s">
        <v>227</v>
      </c>
      <c r="C225" s="57" t="s">
        <v>228</v>
      </c>
      <c r="D225" s="58">
        <v>34.729999999999997</v>
      </c>
      <c r="E225" s="58" t="s">
        <v>11</v>
      </c>
      <c r="F225" s="59" t="str">
        <f t="shared" si="15"/>
        <v>0011</v>
      </c>
      <c r="G225" s="60"/>
      <c r="H225" s="61">
        <v>153</v>
      </c>
      <c r="I225" s="61">
        <v>142</v>
      </c>
      <c r="J225" s="62">
        <f t="shared" si="16"/>
        <v>5313.69</v>
      </c>
      <c r="K225" s="62">
        <f t="shared" si="17"/>
        <v>11</v>
      </c>
      <c r="L225" s="62">
        <f t="shared" si="18"/>
        <v>11</v>
      </c>
      <c r="M225" s="63">
        <f t="shared" si="19"/>
        <v>382.03</v>
      </c>
    </row>
    <row r="226" spans="1:13" ht="12.75" hidden="1" x14ac:dyDescent="0.2">
      <c r="A226" s="65" t="s">
        <v>28</v>
      </c>
      <c r="B226" s="65" t="s">
        <v>29</v>
      </c>
      <c r="C226" s="66" t="s">
        <v>103</v>
      </c>
      <c r="D226" s="67">
        <v>3.28</v>
      </c>
      <c r="E226" s="67" t="s">
        <v>11</v>
      </c>
      <c r="F226" s="68" t="str">
        <f t="shared" si="15"/>
        <v>0011</v>
      </c>
      <c r="G226" s="69"/>
      <c r="H226" s="70">
        <v>116</v>
      </c>
      <c r="I226" s="70">
        <v>0</v>
      </c>
      <c r="J226" s="62">
        <f t="shared" si="16"/>
        <v>380.47999999999996</v>
      </c>
      <c r="K226" s="62">
        <f t="shared" si="17"/>
        <v>116</v>
      </c>
      <c r="L226" s="62">
        <f t="shared" si="18"/>
        <v>116</v>
      </c>
      <c r="M226" s="63">
        <f t="shared" si="19"/>
        <v>380.47999999999996</v>
      </c>
    </row>
    <row r="227" spans="1:13" ht="12.75" hidden="1" x14ac:dyDescent="0.2">
      <c r="A227" s="56" t="s">
        <v>126</v>
      </c>
      <c r="B227" s="56" t="s">
        <v>127</v>
      </c>
      <c r="C227" s="57" t="s">
        <v>544</v>
      </c>
      <c r="D227" s="58">
        <v>3.03</v>
      </c>
      <c r="E227" s="58" t="s">
        <v>11</v>
      </c>
      <c r="F227" s="59" t="str">
        <f t="shared" si="15"/>
        <v>0011</v>
      </c>
      <c r="G227" s="60"/>
      <c r="H227" s="61">
        <v>0</v>
      </c>
      <c r="I227" s="61">
        <v>120</v>
      </c>
      <c r="J227" s="62">
        <f t="shared" si="16"/>
        <v>0</v>
      </c>
      <c r="K227" s="62">
        <f t="shared" si="17"/>
        <v>-120</v>
      </c>
      <c r="L227" s="62">
        <f t="shared" si="18"/>
        <v>-120</v>
      </c>
      <c r="M227" s="63">
        <f t="shared" si="19"/>
        <v>-363.59999999999997</v>
      </c>
    </row>
    <row r="228" spans="1:13" ht="12.75" hidden="1" x14ac:dyDescent="0.2">
      <c r="A228" s="56" t="s">
        <v>207</v>
      </c>
      <c r="B228" s="56" t="s">
        <v>208</v>
      </c>
      <c r="C228" s="57" t="s">
        <v>425</v>
      </c>
      <c r="D228" s="58">
        <v>29.67</v>
      </c>
      <c r="E228" s="58" t="s">
        <v>11</v>
      </c>
      <c r="F228" s="59" t="str">
        <f t="shared" si="15"/>
        <v>0011</v>
      </c>
      <c r="G228" s="60"/>
      <c r="H228" s="61">
        <v>406</v>
      </c>
      <c r="I228" s="61">
        <v>418</v>
      </c>
      <c r="J228" s="62">
        <f t="shared" si="16"/>
        <v>12046.02</v>
      </c>
      <c r="K228" s="62">
        <f t="shared" si="17"/>
        <v>-12</v>
      </c>
      <c r="L228" s="62">
        <f t="shared" si="18"/>
        <v>-12</v>
      </c>
      <c r="M228" s="63">
        <f t="shared" si="19"/>
        <v>-356.04</v>
      </c>
    </row>
    <row r="229" spans="1:13" ht="12.75" hidden="1" x14ac:dyDescent="0.2">
      <c r="A229" s="56" t="s">
        <v>436</v>
      </c>
      <c r="B229" s="56" t="s">
        <v>437</v>
      </c>
      <c r="C229" s="57" t="s">
        <v>439</v>
      </c>
      <c r="D229" s="58">
        <v>87.48</v>
      </c>
      <c r="E229" s="58" t="s">
        <v>11</v>
      </c>
      <c r="F229" s="59" t="str">
        <f t="shared" si="15"/>
        <v>0011</v>
      </c>
      <c r="G229" s="60"/>
      <c r="H229" s="61">
        <v>0</v>
      </c>
      <c r="I229" s="61">
        <v>4</v>
      </c>
      <c r="J229" s="62">
        <f t="shared" si="16"/>
        <v>0</v>
      </c>
      <c r="K229" s="62">
        <f t="shared" si="17"/>
        <v>-4</v>
      </c>
      <c r="L229" s="62">
        <f t="shared" si="18"/>
        <v>-4</v>
      </c>
      <c r="M229" s="63">
        <f t="shared" si="19"/>
        <v>-349.92</v>
      </c>
    </row>
    <row r="230" spans="1:13" ht="12.75" hidden="1" x14ac:dyDescent="0.2">
      <c r="A230" s="56" t="s">
        <v>217</v>
      </c>
      <c r="B230" s="56" t="s">
        <v>218</v>
      </c>
      <c r="C230" s="57" t="s">
        <v>90</v>
      </c>
      <c r="D230" s="58">
        <v>13.96</v>
      </c>
      <c r="E230" s="58" t="s">
        <v>11</v>
      </c>
      <c r="F230" s="59" t="str">
        <f t="shared" si="15"/>
        <v>0011</v>
      </c>
      <c r="G230" s="60"/>
      <c r="H230" s="61">
        <v>1</v>
      </c>
      <c r="I230" s="61">
        <v>25</v>
      </c>
      <c r="J230" s="62">
        <f t="shared" si="16"/>
        <v>13.96</v>
      </c>
      <c r="K230" s="62">
        <f t="shared" si="17"/>
        <v>-24</v>
      </c>
      <c r="L230" s="62">
        <f t="shared" si="18"/>
        <v>-24</v>
      </c>
      <c r="M230" s="63">
        <f t="shared" si="19"/>
        <v>-335.04</v>
      </c>
    </row>
    <row r="231" spans="1:13" ht="12.75" hidden="1" x14ac:dyDescent="0.2">
      <c r="A231" s="56" t="s">
        <v>433</v>
      </c>
      <c r="B231" s="56" t="s">
        <v>434</v>
      </c>
      <c r="C231" s="57" t="s">
        <v>435</v>
      </c>
      <c r="D231" s="58">
        <v>66.709999999999994</v>
      </c>
      <c r="E231" s="58" t="s">
        <v>11</v>
      </c>
      <c r="F231" s="59" t="str">
        <f t="shared" si="15"/>
        <v>0011</v>
      </c>
      <c r="G231" s="60"/>
      <c r="H231" s="61">
        <v>16</v>
      </c>
      <c r="I231" s="61">
        <v>11</v>
      </c>
      <c r="J231" s="62">
        <f t="shared" si="16"/>
        <v>1067.3599999999999</v>
      </c>
      <c r="K231" s="62">
        <f t="shared" si="17"/>
        <v>5</v>
      </c>
      <c r="L231" s="62">
        <f t="shared" si="18"/>
        <v>5</v>
      </c>
      <c r="M231" s="63">
        <f t="shared" si="19"/>
        <v>333.54999999999995</v>
      </c>
    </row>
    <row r="232" spans="1:13" ht="12.75" hidden="1" x14ac:dyDescent="0.2">
      <c r="A232" s="56" t="s">
        <v>232</v>
      </c>
      <c r="B232" s="56" t="s">
        <v>233</v>
      </c>
      <c r="C232" s="57" t="s">
        <v>488</v>
      </c>
      <c r="D232" s="58">
        <v>27.68</v>
      </c>
      <c r="E232" s="58" t="s">
        <v>11</v>
      </c>
      <c r="F232" s="59" t="str">
        <f t="shared" si="15"/>
        <v>0011</v>
      </c>
      <c r="G232" s="60"/>
      <c r="H232" s="61">
        <v>690</v>
      </c>
      <c r="I232" s="61">
        <v>678</v>
      </c>
      <c r="J232" s="62">
        <f t="shared" si="16"/>
        <v>19099.2</v>
      </c>
      <c r="K232" s="62">
        <f t="shared" si="17"/>
        <v>12</v>
      </c>
      <c r="L232" s="62">
        <f t="shared" si="18"/>
        <v>12</v>
      </c>
      <c r="M232" s="63">
        <f t="shared" si="19"/>
        <v>332.15999999999997</v>
      </c>
    </row>
    <row r="233" spans="1:13" ht="12.75" hidden="1" x14ac:dyDescent="0.2">
      <c r="A233" s="56" t="s">
        <v>51</v>
      </c>
      <c r="B233" s="56" t="s">
        <v>52</v>
      </c>
      <c r="C233" s="57" t="s">
        <v>563</v>
      </c>
      <c r="D233" s="58">
        <v>7.04</v>
      </c>
      <c r="E233" s="58" t="s">
        <v>11</v>
      </c>
      <c r="F233" s="59" t="str">
        <f t="shared" si="15"/>
        <v>0011</v>
      </c>
      <c r="G233" s="60"/>
      <c r="H233" s="61">
        <v>22240</v>
      </c>
      <c r="I233" s="61">
        <v>22287</v>
      </c>
      <c r="J233" s="62">
        <f t="shared" si="16"/>
        <v>156569.60000000001</v>
      </c>
      <c r="K233" s="62">
        <f t="shared" si="17"/>
        <v>-47</v>
      </c>
      <c r="L233" s="62">
        <f t="shared" si="18"/>
        <v>-47</v>
      </c>
      <c r="M233" s="63">
        <f t="shared" si="19"/>
        <v>-330.88</v>
      </c>
    </row>
    <row r="234" spans="1:13" ht="12.75" hidden="1" x14ac:dyDescent="0.2">
      <c r="A234" s="56" t="s">
        <v>84</v>
      </c>
      <c r="B234" s="56" t="s">
        <v>85</v>
      </c>
      <c r="C234" s="57"/>
      <c r="D234" s="58">
        <v>26.4</v>
      </c>
      <c r="E234" s="58" t="s">
        <v>11</v>
      </c>
      <c r="F234" s="59" t="str">
        <f t="shared" si="15"/>
        <v>0011</v>
      </c>
      <c r="G234" s="60"/>
      <c r="H234" s="61">
        <v>114</v>
      </c>
      <c r="I234" s="61">
        <v>102</v>
      </c>
      <c r="J234" s="62">
        <f t="shared" si="16"/>
        <v>3009.6</v>
      </c>
      <c r="K234" s="62">
        <f t="shared" si="17"/>
        <v>12</v>
      </c>
      <c r="L234" s="62">
        <f t="shared" si="18"/>
        <v>12</v>
      </c>
      <c r="M234" s="63">
        <f t="shared" si="19"/>
        <v>316.79999999999995</v>
      </c>
    </row>
    <row r="235" spans="1:13" ht="12.75" hidden="1" x14ac:dyDescent="0.2">
      <c r="A235" s="56" t="s">
        <v>300</v>
      </c>
      <c r="B235" s="56" t="s">
        <v>301</v>
      </c>
      <c r="C235" s="57"/>
      <c r="D235" s="58">
        <v>15.73</v>
      </c>
      <c r="E235" s="58" t="s">
        <v>11</v>
      </c>
      <c r="F235" s="59" t="str">
        <f t="shared" si="15"/>
        <v>0011</v>
      </c>
      <c r="G235" s="60"/>
      <c r="H235" s="61">
        <v>3456</v>
      </c>
      <c r="I235" s="61">
        <v>3476</v>
      </c>
      <c r="J235" s="62">
        <f t="shared" si="16"/>
        <v>54362.880000000005</v>
      </c>
      <c r="K235" s="62">
        <f t="shared" si="17"/>
        <v>-20</v>
      </c>
      <c r="L235" s="62">
        <f t="shared" si="18"/>
        <v>-20</v>
      </c>
      <c r="M235" s="63">
        <f t="shared" si="19"/>
        <v>-314.60000000000002</v>
      </c>
    </row>
    <row r="236" spans="1:13" ht="12.75" hidden="1" x14ac:dyDescent="0.2">
      <c r="A236" s="56" t="s">
        <v>47</v>
      </c>
      <c r="B236" s="56" t="s">
        <v>48</v>
      </c>
      <c r="C236" s="57" t="s">
        <v>549</v>
      </c>
      <c r="D236" s="58">
        <v>21.87</v>
      </c>
      <c r="E236" s="58" t="s">
        <v>11</v>
      </c>
      <c r="F236" s="59" t="str">
        <f t="shared" si="15"/>
        <v>0011</v>
      </c>
      <c r="G236" s="60"/>
      <c r="H236" s="61">
        <v>1596</v>
      </c>
      <c r="I236" s="61">
        <v>1610</v>
      </c>
      <c r="J236" s="62">
        <f t="shared" si="16"/>
        <v>34904.520000000004</v>
      </c>
      <c r="K236" s="62">
        <f t="shared" si="17"/>
        <v>-14</v>
      </c>
      <c r="L236" s="62">
        <f t="shared" si="18"/>
        <v>-14</v>
      </c>
      <c r="M236" s="63">
        <f t="shared" si="19"/>
        <v>-306.18</v>
      </c>
    </row>
    <row r="237" spans="1:13" ht="12.75" hidden="1" x14ac:dyDescent="0.2">
      <c r="A237" s="56" t="s">
        <v>115</v>
      </c>
      <c r="B237" s="56" t="s">
        <v>116</v>
      </c>
      <c r="C237" s="57" t="s">
        <v>560</v>
      </c>
      <c r="D237" s="58">
        <v>3.62</v>
      </c>
      <c r="E237" s="58" t="s">
        <v>11</v>
      </c>
      <c r="F237" s="59" t="str">
        <f t="shared" si="15"/>
        <v>0011</v>
      </c>
      <c r="G237" s="60"/>
      <c r="H237" s="61">
        <v>2264</v>
      </c>
      <c r="I237" s="61">
        <v>2348</v>
      </c>
      <c r="J237" s="62">
        <f t="shared" si="16"/>
        <v>8195.68</v>
      </c>
      <c r="K237" s="62">
        <f t="shared" si="17"/>
        <v>-84</v>
      </c>
      <c r="L237" s="62">
        <f t="shared" si="18"/>
        <v>-84</v>
      </c>
      <c r="M237" s="63">
        <f t="shared" si="19"/>
        <v>-304.08</v>
      </c>
    </row>
    <row r="238" spans="1:13" ht="12.75" hidden="1" x14ac:dyDescent="0.2">
      <c r="A238" s="65" t="s">
        <v>23</v>
      </c>
      <c r="B238" s="65" t="s">
        <v>24</v>
      </c>
      <c r="C238" s="66" t="s">
        <v>249</v>
      </c>
      <c r="D238" s="67">
        <v>7.97</v>
      </c>
      <c r="E238" s="67" t="s">
        <v>11</v>
      </c>
      <c r="F238" s="68" t="str">
        <f t="shared" si="15"/>
        <v>0011</v>
      </c>
      <c r="G238" s="69"/>
      <c r="H238" s="70">
        <v>38</v>
      </c>
      <c r="I238" s="70">
        <v>0</v>
      </c>
      <c r="J238" s="62">
        <f t="shared" si="16"/>
        <v>302.86</v>
      </c>
      <c r="K238" s="62">
        <f t="shared" si="17"/>
        <v>38</v>
      </c>
      <c r="L238" s="62">
        <f t="shared" si="18"/>
        <v>38</v>
      </c>
      <c r="M238" s="63">
        <f t="shared" si="19"/>
        <v>302.86</v>
      </c>
    </row>
    <row r="239" spans="1:13" ht="12.75" hidden="1" x14ac:dyDescent="0.2">
      <c r="A239" s="56" t="s">
        <v>419</v>
      </c>
      <c r="B239" s="56" t="s">
        <v>420</v>
      </c>
      <c r="C239" s="57" t="s">
        <v>421</v>
      </c>
      <c r="D239" s="58">
        <v>28.57</v>
      </c>
      <c r="E239" s="58" t="s">
        <v>11</v>
      </c>
      <c r="F239" s="59" t="str">
        <f t="shared" si="15"/>
        <v>0011</v>
      </c>
      <c r="G239" s="60"/>
      <c r="H239" s="61">
        <v>0</v>
      </c>
      <c r="I239" s="61">
        <v>10</v>
      </c>
      <c r="J239" s="62">
        <f t="shared" si="16"/>
        <v>0</v>
      </c>
      <c r="K239" s="62">
        <f t="shared" si="17"/>
        <v>-10</v>
      </c>
      <c r="L239" s="62">
        <f t="shared" si="18"/>
        <v>-10</v>
      </c>
      <c r="M239" s="63">
        <f t="shared" si="19"/>
        <v>-285.7</v>
      </c>
    </row>
    <row r="240" spans="1:13" ht="12.75" hidden="1" x14ac:dyDescent="0.2">
      <c r="A240" s="56" t="s">
        <v>171</v>
      </c>
      <c r="B240" s="56" t="s">
        <v>172</v>
      </c>
      <c r="C240" s="57"/>
      <c r="D240" s="58">
        <v>47.26</v>
      </c>
      <c r="E240" s="58" t="s">
        <v>11</v>
      </c>
      <c r="F240" s="59" t="str">
        <f t="shared" si="15"/>
        <v>0011</v>
      </c>
      <c r="G240" s="60"/>
      <c r="H240" s="61">
        <v>36</v>
      </c>
      <c r="I240" s="61">
        <v>30</v>
      </c>
      <c r="J240" s="62">
        <f t="shared" si="16"/>
        <v>1701.36</v>
      </c>
      <c r="K240" s="62">
        <f t="shared" si="17"/>
        <v>6</v>
      </c>
      <c r="L240" s="62">
        <f t="shared" si="18"/>
        <v>6</v>
      </c>
      <c r="M240" s="63">
        <f t="shared" si="19"/>
        <v>283.56</v>
      </c>
    </row>
    <row r="241" spans="1:13" ht="12.75" hidden="1" x14ac:dyDescent="0.2">
      <c r="A241" s="56" t="s">
        <v>440</v>
      </c>
      <c r="B241" s="56" t="s">
        <v>441</v>
      </c>
      <c r="C241" s="57" t="s">
        <v>443</v>
      </c>
      <c r="D241" s="58">
        <v>93.15</v>
      </c>
      <c r="E241" s="58" t="s">
        <v>11</v>
      </c>
      <c r="F241" s="59" t="str">
        <f t="shared" si="15"/>
        <v>0011</v>
      </c>
      <c r="G241" s="60"/>
      <c r="H241" s="61">
        <v>0</v>
      </c>
      <c r="I241" s="61">
        <v>3</v>
      </c>
      <c r="J241" s="62">
        <f t="shared" si="16"/>
        <v>0</v>
      </c>
      <c r="K241" s="62">
        <f t="shared" si="17"/>
        <v>-3</v>
      </c>
      <c r="L241" s="62">
        <f t="shared" si="18"/>
        <v>-3</v>
      </c>
      <c r="M241" s="63">
        <f t="shared" si="19"/>
        <v>-279.45000000000005</v>
      </c>
    </row>
    <row r="242" spans="1:13" ht="12.75" hidden="1" x14ac:dyDescent="0.2">
      <c r="A242" s="56" t="s">
        <v>368</v>
      </c>
      <c r="B242" s="56" t="s">
        <v>369</v>
      </c>
      <c r="C242" s="57"/>
      <c r="D242" s="58">
        <v>46.29</v>
      </c>
      <c r="E242" s="58" t="s">
        <v>11</v>
      </c>
      <c r="F242" s="59" t="str">
        <f t="shared" si="15"/>
        <v>0011</v>
      </c>
      <c r="G242" s="60"/>
      <c r="H242" s="61">
        <v>20</v>
      </c>
      <c r="I242" s="61">
        <v>26</v>
      </c>
      <c r="J242" s="62">
        <f t="shared" si="16"/>
        <v>925.8</v>
      </c>
      <c r="K242" s="62">
        <f t="shared" si="17"/>
        <v>-6</v>
      </c>
      <c r="L242" s="62">
        <f t="shared" si="18"/>
        <v>-6</v>
      </c>
      <c r="M242" s="63">
        <f t="shared" si="19"/>
        <v>-277.74</v>
      </c>
    </row>
    <row r="243" spans="1:13" ht="12.75" hidden="1" x14ac:dyDescent="0.2">
      <c r="A243" s="56" t="s">
        <v>341</v>
      </c>
      <c r="B243" s="56" t="s">
        <v>342</v>
      </c>
      <c r="C243" s="57"/>
      <c r="D243" s="58">
        <v>0.22</v>
      </c>
      <c r="E243" s="58" t="s">
        <v>11</v>
      </c>
      <c r="F243" s="59" t="str">
        <f t="shared" si="15"/>
        <v>0011</v>
      </c>
      <c r="G243" s="60"/>
      <c r="H243" s="61">
        <v>23</v>
      </c>
      <c r="I243" s="61">
        <v>1250</v>
      </c>
      <c r="J243" s="62">
        <f t="shared" si="16"/>
        <v>5.0599999999999996</v>
      </c>
      <c r="K243" s="62">
        <f t="shared" si="17"/>
        <v>-1227</v>
      </c>
      <c r="L243" s="62">
        <f t="shared" si="18"/>
        <v>-1227</v>
      </c>
      <c r="M243" s="63">
        <f t="shared" si="19"/>
        <v>-269.94</v>
      </c>
    </row>
    <row r="244" spans="1:13" ht="12.75" hidden="1" x14ac:dyDescent="0.2">
      <c r="A244" s="56" t="s">
        <v>40</v>
      </c>
      <c r="B244" s="56" t="s">
        <v>41</v>
      </c>
      <c r="C244" s="57" t="s">
        <v>535</v>
      </c>
      <c r="D244" s="58">
        <v>2.91</v>
      </c>
      <c r="E244" s="58" t="s">
        <v>11</v>
      </c>
      <c r="F244" s="59" t="str">
        <f t="shared" si="15"/>
        <v>0011</v>
      </c>
      <c r="G244" s="60"/>
      <c r="H244" s="61">
        <v>0</v>
      </c>
      <c r="I244" s="61">
        <v>92</v>
      </c>
      <c r="J244" s="62">
        <f t="shared" si="16"/>
        <v>0</v>
      </c>
      <c r="K244" s="62">
        <f t="shared" si="17"/>
        <v>-92</v>
      </c>
      <c r="L244" s="62">
        <f t="shared" si="18"/>
        <v>-92</v>
      </c>
      <c r="M244" s="63">
        <f t="shared" si="19"/>
        <v>-267.72000000000003</v>
      </c>
    </row>
    <row r="245" spans="1:13" ht="12.75" hidden="1" x14ac:dyDescent="0.2">
      <c r="A245" s="65" t="s">
        <v>239</v>
      </c>
      <c r="B245" s="65" t="s">
        <v>240</v>
      </c>
      <c r="C245" s="66" t="s">
        <v>243</v>
      </c>
      <c r="D245" s="67">
        <v>26.36</v>
      </c>
      <c r="E245" s="67" t="s">
        <v>11</v>
      </c>
      <c r="F245" s="68" t="str">
        <f t="shared" si="15"/>
        <v>0011</v>
      </c>
      <c r="G245" s="69"/>
      <c r="H245" s="70">
        <v>10</v>
      </c>
      <c r="I245" s="70">
        <v>0</v>
      </c>
      <c r="J245" s="62">
        <f t="shared" si="16"/>
        <v>263.60000000000002</v>
      </c>
      <c r="K245" s="62">
        <f t="shared" si="17"/>
        <v>10</v>
      </c>
      <c r="L245" s="62">
        <f t="shared" si="18"/>
        <v>10</v>
      </c>
      <c r="M245" s="63">
        <f t="shared" si="19"/>
        <v>263.60000000000002</v>
      </c>
    </row>
    <row r="246" spans="1:13" ht="12.75" hidden="1" x14ac:dyDescent="0.2">
      <c r="A246" s="56" t="s">
        <v>123</v>
      </c>
      <c r="B246" s="56" t="s">
        <v>124</v>
      </c>
      <c r="C246" s="57" t="s">
        <v>566</v>
      </c>
      <c r="D246" s="58">
        <v>7.73</v>
      </c>
      <c r="E246" s="58" t="s">
        <v>11</v>
      </c>
      <c r="F246" s="59" t="str">
        <f t="shared" si="15"/>
        <v>0011</v>
      </c>
      <c r="G246" s="60"/>
      <c r="H246" s="61">
        <v>15218</v>
      </c>
      <c r="I246" s="61">
        <v>15184</v>
      </c>
      <c r="J246" s="62">
        <f t="shared" si="16"/>
        <v>117635.14</v>
      </c>
      <c r="K246" s="62">
        <f t="shared" si="17"/>
        <v>34</v>
      </c>
      <c r="L246" s="62">
        <f t="shared" si="18"/>
        <v>34</v>
      </c>
      <c r="M246" s="63">
        <f t="shared" si="19"/>
        <v>262.82</v>
      </c>
    </row>
    <row r="247" spans="1:13" ht="12.75" hidden="1" x14ac:dyDescent="0.2">
      <c r="A247" s="56" t="s">
        <v>123</v>
      </c>
      <c r="B247" s="56" t="s">
        <v>124</v>
      </c>
      <c r="C247" s="57" t="s">
        <v>567</v>
      </c>
      <c r="D247" s="58">
        <v>7.73</v>
      </c>
      <c r="E247" s="58" t="s">
        <v>11</v>
      </c>
      <c r="F247" s="59" t="str">
        <f t="shared" si="15"/>
        <v>0011</v>
      </c>
      <c r="G247" s="60"/>
      <c r="H247" s="61">
        <v>8016</v>
      </c>
      <c r="I247" s="61">
        <v>8050</v>
      </c>
      <c r="J247" s="62">
        <f t="shared" si="16"/>
        <v>61963.68</v>
      </c>
      <c r="K247" s="62">
        <f t="shared" si="17"/>
        <v>-34</v>
      </c>
      <c r="L247" s="62">
        <f t="shared" si="18"/>
        <v>-34</v>
      </c>
      <c r="M247" s="63">
        <f t="shared" si="19"/>
        <v>-262.82</v>
      </c>
    </row>
    <row r="248" spans="1:13" ht="12.75" hidden="1" x14ac:dyDescent="0.2">
      <c r="A248" s="65" t="s">
        <v>123</v>
      </c>
      <c r="B248" s="65" t="s">
        <v>124</v>
      </c>
      <c r="C248" s="66" t="s">
        <v>656</v>
      </c>
      <c r="D248" s="67">
        <v>7.73</v>
      </c>
      <c r="E248" s="67" t="s">
        <v>11</v>
      </c>
      <c r="F248" s="68" t="str">
        <f t="shared" si="15"/>
        <v>0011</v>
      </c>
      <c r="G248" s="69"/>
      <c r="H248" s="70">
        <v>34</v>
      </c>
      <c r="I248" s="70">
        <v>0</v>
      </c>
      <c r="J248" s="62">
        <f t="shared" si="16"/>
        <v>262.82</v>
      </c>
      <c r="K248" s="62">
        <f t="shared" si="17"/>
        <v>34</v>
      </c>
      <c r="L248" s="62">
        <f t="shared" si="18"/>
        <v>34</v>
      </c>
      <c r="M248" s="63">
        <f t="shared" si="19"/>
        <v>262.82</v>
      </c>
    </row>
    <row r="249" spans="1:13" ht="12.75" hidden="1" x14ac:dyDescent="0.2">
      <c r="A249" s="56" t="s">
        <v>133</v>
      </c>
      <c r="B249" s="56" t="s">
        <v>129</v>
      </c>
      <c r="C249" s="57" t="s">
        <v>585</v>
      </c>
      <c r="D249" s="58">
        <v>10.199999999999999</v>
      </c>
      <c r="E249" s="58" t="s">
        <v>11</v>
      </c>
      <c r="F249" s="59" t="str">
        <f t="shared" si="15"/>
        <v>0011</v>
      </c>
      <c r="G249" s="60"/>
      <c r="H249" s="61">
        <v>3144</v>
      </c>
      <c r="I249" s="61">
        <v>3168</v>
      </c>
      <c r="J249" s="62">
        <f t="shared" si="16"/>
        <v>32068.799999999999</v>
      </c>
      <c r="K249" s="62">
        <f t="shared" si="17"/>
        <v>-24</v>
      </c>
      <c r="L249" s="62">
        <f t="shared" si="18"/>
        <v>-24</v>
      </c>
      <c r="M249" s="63">
        <f t="shared" si="19"/>
        <v>-244.79999999999998</v>
      </c>
    </row>
    <row r="250" spans="1:13" ht="12.75" hidden="1" x14ac:dyDescent="0.2">
      <c r="A250" s="56" t="s">
        <v>40</v>
      </c>
      <c r="B250" s="56" t="s">
        <v>41</v>
      </c>
      <c r="C250" s="57" t="s">
        <v>111</v>
      </c>
      <c r="D250" s="58">
        <v>2.91</v>
      </c>
      <c r="E250" s="58" t="s">
        <v>11</v>
      </c>
      <c r="F250" s="59" t="str">
        <f t="shared" si="15"/>
        <v>0011</v>
      </c>
      <c r="G250" s="60"/>
      <c r="H250" s="61">
        <v>0</v>
      </c>
      <c r="I250" s="61">
        <v>84</v>
      </c>
      <c r="J250" s="62">
        <f t="shared" si="16"/>
        <v>0</v>
      </c>
      <c r="K250" s="62">
        <f t="shared" si="17"/>
        <v>-84</v>
      </c>
      <c r="L250" s="62">
        <f t="shared" si="18"/>
        <v>-84</v>
      </c>
      <c r="M250" s="63">
        <f t="shared" si="19"/>
        <v>-244.44</v>
      </c>
    </row>
    <row r="251" spans="1:13" ht="12.75" hidden="1" x14ac:dyDescent="0.2">
      <c r="A251" s="56" t="s">
        <v>32</v>
      </c>
      <c r="B251" s="56" t="s">
        <v>33</v>
      </c>
      <c r="C251" s="57" t="s">
        <v>108</v>
      </c>
      <c r="D251" s="58">
        <v>3.03</v>
      </c>
      <c r="E251" s="58" t="s">
        <v>11</v>
      </c>
      <c r="F251" s="59" t="str">
        <f t="shared" si="15"/>
        <v>0011</v>
      </c>
      <c r="G251" s="60"/>
      <c r="H251" s="61">
        <v>0</v>
      </c>
      <c r="I251" s="61">
        <v>80</v>
      </c>
      <c r="J251" s="62">
        <f t="shared" si="16"/>
        <v>0</v>
      </c>
      <c r="K251" s="62">
        <f t="shared" si="17"/>
        <v>-80</v>
      </c>
      <c r="L251" s="62">
        <f t="shared" si="18"/>
        <v>-80</v>
      </c>
      <c r="M251" s="63">
        <f t="shared" si="19"/>
        <v>-242.39999999999998</v>
      </c>
    </row>
    <row r="252" spans="1:13" ht="12.75" hidden="1" x14ac:dyDescent="0.2">
      <c r="A252" s="65" t="s">
        <v>123</v>
      </c>
      <c r="B252" s="65" t="s">
        <v>124</v>
      </c>
      <c r="C252" s="66" t="s">
        <v>125</v>
      </c>
      <c r="D252" s="67">
        <v>7.73</v>
      </c>
      <c r="E252" s="67" t="s">
        <v>11</v>
      </c>
      <c r="F252" s="68" t="str">
        <f t="shared" si="15"/>
        <v>0011</v>
      </c>
      <c r="G252" s="69"/>
      <c r="H252" s="70">
        <v>31</v>
      </c>
      <c r="I252" s="70">
        <v>0</v>
      </c>
      <c r="J252" s="62">
        <f t="shared" si="16"/>
        <v>239.63000000000002</v>
      </c>
      <c r="K252" s="62">
        <f t="shared" si="17"/>
        <v>31</v>
      </c>
      <c r="L252" s="62">
        <f t="shared" si="18"/>
        <v>31</v>
      </c>
      <c r="M252" s="63">
        <f t="shared" si="19"/>
        <v>239.63000000000002</v>
      </c>
    </row>
    <row r="253" spans="1:13" ht="12.75" hidden="1" x14ac:dyDescent="0.2">
      <c r="A253" s="65" t="s">
        <v>429</v>
      </c>
      <c r="B253" s="65" t="s">
        <v>430</v>
      </c>
      <c r="C253" s="66" t="s">
        <v>671</v>
      </c>
      <c r="D253" s="67">
        <v>39.43</v>
      </c>
      <c r="E253" s="67" t="s">
        <v>11</v>
      </c>
      <c r="F253" s="68" t="str">
        <f t="shared" si="15"/>
        <v>0011</v>
      </c>
      <c r="G253" s="69"/>
      <c r="H253" s="70">
        <v>6</v>
      </c>
      <c r="I253" s="70">
        <v>0</v>
      </c>
      <c r="J253" s="62">
        <f t="shared" si="16"/>
        <v>236.57999999999998</v>
      </c>
      <c r="K253" s="62">
        <f t="shared" si="17"/>
        <v>6</v>
      </c>
      <c r="L253" s="62">
        <f t="shared" si="18"/>
        <v>6</v>
      </c>
      <c r="M253" s="63">
        <f t="shared" si="19"/>
        <v>236.57999999999998</v>
      </c>
    </row>
    <row r="254" spans="1:13" ht="12.75" hidden="1" x14ac:dyDescent="0.2">
      <c r="A254" s="65" t="s">
        <v>58</v>
      </c>
      <c r="B254" s="65" t="s">
        <v>59</v>
      </c>
      <c r="C254" s="66" t="s">
        <v>279</v>
      </c>
      <c r="D254" s="67">
        <v>10.46</v>
      </c>
      <c r="E254" s="67" t="s">
        <v>11</v>
      </c>
      <c r="F254" s="68" t="str">
        <f t="shared" si="15"/>
        <v>0011</v>
      </c>
      <c r="G254" s="69"/>
      <c r="H254" s="70">
        <v>22</v>
      </c>
      <c r="I254" s="70">
        <v>0</v>
      </c>
      <c r="J254" s="62">
        <f t="shared" si="16"/>
        <v>230.12</v>
      </c>
      <c r="K254" s="62">
        <f t="shared" si="17"/>
        <v>22</v>
      </c>
      <c r="L254" s="62">
        <f t="shared" si="18"/>
        <v>22</v>
      </c>
      <c r="M254" s="63">
        <f t="shared" si="19"/>
        <v>230.12</v>
      </c>
    </row>
    <row r="255" spans="1:13" ht="12.75" hidden="1" x14ac:dyDescent="0.2">
      <c r="A255" s="56" t="s">
        <v>131</v>
      </c>
      <c r="B255" s="56" t="s">
        <v>130</v>
      </c>
      <c r="C255" s="57" t="s">
        <v>577</v>
      </c>
      <c r="D255" s="58">
        <v>10.210000000000001</v>
      </c>
      <c r="E255" s="58" t="s">
        <v>11</v>
      </c>
      <c r="F255" s="59" t="str">
        <f t="shared" si="15"/>
        <v>0011</v>
      </c>
      <c r="G255" s="60"/>
      <c r="H255" s="61">
        <v>562</v>
      </c>
      <c r="I255" s="61">
        <v>584</v>
      </c>
      <c r="J255" s="62">
        <f t="shared" si="16"/>
        <v>5738.02</v>
      </c>
      <c r="K255" s="62">
        <f t="shared" si="17"/>
        <v>-22</v>
      </c>
      <c r="L255" s="62">
        <f t="shared" si="18"/>
        <v>-22</v>
      </c>
      <c r="M255" s="63">
        <f t="shared" si="19"/>
        <v>-224.62</v>
      </c>
    </row>
    <row r="256" spans="1:13" ht="12.75" hidden="1" x14ac:dyDescent="0.2">
      <c r="A256" s="56" t="s">
        <v>12</v>
      </c>
      <c r="B256" s="56" t="s">
        <v>13</v>
      </c>
      <c r="C256" s="57"/>
      <c r="D256" s="58">
        <v>108.7</v>
      </c>
      <c r="E256" s="58" t="s">
        <v>11</v>
      </c>
      <c r="F256" s="59" t="str">
        <f t="shared" si="15"/>
        <v>0011</v>
      </c>
      <c r="G256" s="60"/>
      <c r="H256" s="61">
        <v>0</v>
      </c>
      <c r="I256" s="61">
        <v>2</v>
      </c>
      <c r="J256" s="62">
        <f t="shared" si="16"/>
        <v>0</v>
      </c>
      <c r="K256" s="62">
        <f t="shared" si="17"/>
        <v>-2</v>
      </c>
      <c r="L256" s="62">
        <f t="shared" si="18"/>
        <v>-2</v>
      </c>
      <c r="M256" s="63">
        <f t="shared" si="19"/>
        <v>-217.4</v>
      </c>
    </row>
    <row r="257" spans="1:13" ht="12.75" hidden="1" x14ac:dyDescent="0.2">
      <c r="A257" s="56" t="s">
        <v>93</v>
      </c>
      <c r="B257" s="56" t="s">
        <v>94</v>
      </c>
      <c r="C257" s="57" t="s">
        <v>95</v>
      </c>
      <c r="D257" s="58">
        <v>11.33</v>
      </c>
      <c r="E257" s="58" t="s">
        <v>11</v>
      </c>
      <c r="F257" s="59" t="str">
        <f t="shared" si="15"/>
        <v>0011</v>
      </c>
      <c r="G257" s="60"/>
      <c r="H257" s="61">
        <v>1362</v>
      </c>
      <c r="I257" s="61">
        <v>1343</v>
      </c>
      <c r="J257" s="62">
        <f t="shared" si="16"/>
        <v>15431.460000000001</v>
      </c>
      <c r="K257" s="62">
        <f t="shared" si="17"/>
        <v>19</v>
      </c>
      <c r="L257" s="62">
        <f t="shared" si="18"/>
        <v>19</v>
      </c>
      <c r="M257" s="63">
        <f t="shared" si="19"/>
        <v>215.27</v>
      </c>
    </row>
    <row r="258" spans="1:13" ht="12.75" hidden="1" x14ac:dyDescent="0.2">
      <c r="A258" s="56" t="s">
        <v>287</v>
      </c>
      <c r="B258" s="56" t="s">
        <v>288</v>
      </c>
      <c r="C258" s="57" t="s">
        <v>591</v>
      </c>
      <c r="D258" s="58">
        <v>4.0599999999999996</v>
      </c>
      <c r="E258" s="58" t="s">
        <v>11</v>
      </c>
      <c r="F258" s="59" t="str">
        <f t="shared" si="15"/>
        <v>0011</v>
      </c>
      <c r="G258" s="60"/>
      <c r="H258" s="61">
        <v>0</v>
      </c>
      <c r="I258" s="61">
        <v>53</v>
      </c>
      <c r="J258" s="62">
        <f t="shared" si="16"/>
        <v>0</v>
      </c>
      <c r="K258" s="62">
        <f t="shared" si="17"/>
        <v>-53</v>
      </c>
      <c r="L258" s="62">
        <f t="shared" si="18"/>
        <v>-53</v>
      </c>
      <c r="M258" s="63">
        <f t="shared" si="19"/>
        <v>-215.17999999999998</v>
      </c>
    </row>
    <row r="259" spans="1:13" ht="12.75" hidden="1" x14ac:dyDescent="0.2">
      <c r="A259" s="56" t="s">
        <v>370</v>
      </c>
      <c r="B259" s="56" t="s">
        <v>371</v>
      </c>
      <c r="C259" s="57"/>
      <c r="D259" s="58">
        <v>3.68</v>
      </c>
      <c r="E259" s="58" t="s">
        <v>11</v>
      </c>
      <c r="F259" s="59" t="str">
        <f t="shared" si="15"/>
        <v>0011</v>
      </c>
      <c r="G259" s="60"/>
      <c r="H259" s="61">
        <v>646</v>
      </c>
      <c r="I259" s="61">
        <v>703</v>
      </c>
      <c r="J259" s="62">
        <f t="shared" si="16"/>
        <v>2377.2800000000002</v>
      </c>
      <c r="K259" s="62">
        <f t="shared" si="17"/>
        <v>-57</v>
      </c>
      <c r="L259" s="62">
        <f t="shared" si="18"/>
        <v>-57</v>
      </c>
      <c r="M259" s="63">
        <f t="shared" si="19"/>
        <v>-209.76000000000002</v>
      </c>
    </row>
    <row r="260" spans="1:13" ht="12.75" hidden="1" x14ac:dyDescent="0.2">
      <c r="A260" s="56" t="s">
        <v>359</v>
      </c>
      <c r="B260" s="56" t="s">
        <v>360</v>
      </c>
      <c r="C260" s="57"/>
      <c r="D260" s="58">
        <v>13.81</v>
      </c>
      <c r="E260" s="58" t="s">
        <v>11</v>
      </c>
      <c r="F260" s="59" t="str">
        <f t="shared" si="15"/>
        <v>0011</v>
      </c>
      <c r="G260" s="60"/>
      <c r="H260" s="61">
        <v>0</v>
      </c>
      <c r="I260" s="61">
        <v>15</v>
      </c>
      <c r="J260" s="62">
        <f t="shared" si="16"/>
        <v>0</v>
      </c>
      <c r="K260" s="62">
        <f t="shared" si="17"/>
        <v>-15</v>
      </c>
      <c r="L260" s="62">
        <f t="shared" si="18"/>
        <v>-15</v>
      </c>
      <c r="M260" s="63">
        <f t="shared" si="19"/>
        <v>-207.15</v>
      </c>
    </row>
    <row r="261" spans="1:13" ht="12.75" hidden="1" x14ac:dyDescent="0.2">
      <c r="A261" s="56" t="s">
        <v>82</v>
      </c>
      <c r="B261" s="56" t="s">
        <v>83</v>
      </c>
      <c r="C261" s="57"/>
      <c r="D261" s="58">
        <v>16.920000000000002</v>
      </c>
      <c r="E261" s="58" t="s">
        <v>11</v>
      </c>
      <c r="F261" s="59" t="str">
        <f t="shared" si="15"/>
        <v>0011</v>
      </c>
      <c r="G261" s="60"/>
      <c r="H261" s="61">
        <v>450</v>
      </c>
      <c r="I261" s="61">
        <v>438</v>
      </c>
      <c r="J261" s="62">
        <f t="shared" si="16"/>
        <v>7614.0000000000009</v>
      </c>
      <c r="K261" s="62">
        <f t="shared" si="17"/>
        <v>12</v>
      </c>
      <c r="L261" s="62">
        <f t="shared" si="18"/>
        <v>12</v>
      </c>
      <c r="M261" s="63">
        <f t="shared" si="19"/>
        <v>203.04000000000002</v>
      </c>
    </row>
    <row r="262" spans="1:13" ht="12.75" hidden="1" x14ac:dyDescent="0.2">
      <c r="A262" s="56" t="s">
        <v>347</v>
      </c>
      <c r="B262" s="56" t="s">
        <v>348</v>
      </c>
      <c r="C262" s="57"/>
      <c r="D262" s="58">
        <v>1</v>
      </c>
      <c r="E262" s="58" t="s">
        <v>11</v>
      </c>
      <c r="F262" s="59" t="str">
        <f t="shared" si="15"/>
        <v>0011</v>
      </c>
      <c r="G262" s="60"/>
      <c r="H262" s="61">
        <v>0</v>
      </c>
      <c r="I262" s="61">
        <v>200</v>
      </c>
      <c r="J262" s="62">
        <f t="shared" si="16"/>
        <v>0</v>
      </c>
      <c r="K262" s="62">
        <f t="shared" si="17"/>
        <v>-200</v>
      </c>
      <c r="L262" s="62">
        <f t="shared" si="18"/>
        <v>-200</v>
      </c>
      <c r="M262" s="63">
        <f t="shared" si="19"/>
        <v>-200</v>
      </c>
    </row>
    <row r="263" spans="1:13" ht="12.75" hidden="1" x14ac:dyDescent="0.2">
      <c r="A263" s="56" t="s">
        <v>351</v>
      </c>
      <c r="B263" s="56" t="s">
        <v>352</v>
      </c>
      <c r="C263" s="57"/>
      <c r="D263" s="58">
        <v>1</v>
      </c>
      <c r="E263" s="58" t="s">
        <v>11</v>
      </c>
      <c r="F263" s="59" t="str">
        <f t="shared" si="15"/>
        <v>0011</v>
      </c>
      <c r="G263" s="60"/>
      <c r="H263" s="61">
        <v>0</v>
      </c>
      <c r="I263" s="61">
        <v>200</v>
      </c>
      <c r="J263" s="62">
        <f t="shared" si="16"/>
        <v>0</v>
      </c>
      <c r="K263" s="62">
        <f t="shared" si="17"/>
        <v>-200</v>
      </c>
      <c r="L263" s="62">
        <f t="shared" si="18"/>
        <v>-200</v>
      </c>
      <c r="M263" s="63">
        <f t="shared" si="19"/>
        <v>-200</v>
      </c>
    </row>
    <row r="264" spans="1:13" ht="12.75" hidden="1" x14ac:dyDescent="0.2">
      <c r="A264" s="56" t="s">
        <v>403</v>
      </c>
      <c r="B264" s="56" t="s">
        <v>404</v>
      </c>
      <c r="C264" s="57"/>
      <c r="D264" s="58">
        <v>39.78</v>
      </c>
      <c r="E264" s="58" t="s">
        <v>11</v>
      </c>
      <c r="F264" s="59" t="str">
        <f t="shared" ref="F264:F327" si="20">+$M$3</f>
        <v>0011</v>
      </c>
      <c r="G264" s="60"/>
      <c r="H264" s="61">
        <v>165</v>
      </c>
      <c r="I264" s="61">
        <v>170</v>
      </c>
      <c r="J264" s="62">
        <f t="shared" ref="J264:J327" si="21">D264*H264</f>
        <v>6563.7</v>
      </c>
      <c r="K264" s="62">
        <f t="shared" ref="K264:K327" si="22">H264-I264</f>
        <v>-5</v>
      </c>
      <c r="L264" s="62">
        <f t="shared" ref="L264:L327" si="23">H264-I264</f>
        <v>-5</v>
      </c>
      <c r="M264" s="63">
        <f t="shared" ref="M264:M327" si="24">L264*D264</f>
        <v>-198.9</v>
      </c>
    </row>
    <row r="265" spans="1:13" ht="12.75" hidden="1" x14ac:dyDescent="0.2">
      <c r="A265" s="56" t="s">
        <v>28</v>
      </c>
      <c r="B265" s="56" t="s">
        <v>29</v>
      </c>
      <c r="C265" s="57" t="s">
        <v>514</v>
      </c>
      <c r="D265" s="58">
        <v>3.28</v>
      </c>
      <c r="E265" s="58" t="s">
        <v>11</v>
      </c>
      <c r="F265" s="59" t="str">
        <f t="shared" si="20"/>
        <v>0011</v>
      </c>
      <c r="G265" s="60"/>
      <c r="H265" s="61">
        <v>18084</v>
      </c>
      <c r="I265" s="61">
        <v>18144</v>
      </c>
      <c r="J265" s="62">
        <f t="shared" si="21"/>
        <v>59315.519999999997</v>
      </c>
      <c r="K265" s="62">
        <f t="shared" si="22"/>
        <v>-60</v>
      </c>
      <c r="L265" s="62">
        <f t="shared" si="23"/>
        <v>-60</v>
      </c>
      <c r="M265" s="63">
        <f t="shared" si="24"/>
        <v>-196.79999999999998</v>
      </c>
    </row>
    <row r="266" spans="1:13" ht="12.75" hidden="1" x14ac:dyDescent="0.2">
      <c r="A266" s="65" t="s">
        <v>131</v>
      </c>
      <c r="B266" s="65" t="s">
        <v>130</v>
      </c>
      <c r="C266" s="66" t="s">
        <v>657</v>
      </c>
      <c r="D266" s="67">
        <v>10.210000000000001</v>
      </c>
      <c r="E266" s="67" t="s">
        <v>11</v>
      </c>
      <c r="F266" s="68" t="str">
        <f t="shared" si="20"/>
        <v>0011</v>
      </c>
      <c r="G266" s="69"/>
      <c r="H266" s="70">
        <v>19</v>
      </c>
      <c r="I266" s="70">
        <v>0</v>
      </c>
      <c r="J266" s="62">
        <f t="shared" si="21"/>
        <v>193.99</v>
      </c>
      <c r="K266" s="62">
        <f t="shared" si="22"/>
        <v>19</v>
      </c>
      <c r="L266" s="62">
        <f t="shared" si="23"/>
        <v>19</v>
      </c>
      <c r="M266" s="63">
        <f t="shared" si="24"/>
        <v>193.99</v>
      </c>
    </row>
    <row r="267" spans="1:13" ht="12.75" hidden="1" x14ac:dyDescent="0.2">
      <c r="A267" s="56" t="s">
        <v>51</v>
      </c>
      <c r="B267" s="56" t="s">
        <v>52</v>
      </c>
      <c r="C267" s="57" t="s">
        <v>122</v>
      </c>
      <c r="D267" s="58">
        <v>7.04</v>
      </c>
      <c r="E267" s="58" t="s">
        <v>11</v>
      </c>
      <c r="F267" s="59" t="str">
        <f t="shared" si="20"/>
        <v>0011</v>
      </c>
      <c r="G267" s="60"/>
      <c r="H267" s="61">
        <v>47</v>
      </c>
      <c r="I267" s="61">
        <v>74</v>
      </c>
      <c r="J267" s="62">
        <f t="shared" si="21"/>
        <v>330.88</v>
      </c>
      <c r="K267" s="62">
        <f t="shared" si="22"/>
        <v>-27</v>
      </c>
      <c r="L267" s="62">
        <f t="shared" si="23"/>
        <v>-27</v>
      </c>
      <c r="M267" s="63">
        <f t="shared" si="24"/>
        <v>-190.08</v>
      </c>
    </row>
    <row r="268" spans="1:13" ht="12.75" hidden="1" x14ac:dyDescent="0.2">
      <c r="A268" s="56" t="s">
        <v>220</v>
      </c>
      <c r="B268" s="56" t="s">
        <v>221</v>
      </c>
      <c r="C268" s="57" t="s">
        <v>222</v>
      </c>
      <c r="D268" s="58">
        <v>14.83</v>
      </c>
      <c r="E268" s="58" t="s">
        <v>11</v>
      </c>
      <c r="F268" s="59" t="str">
        <f t="shared" si="20"/>
        <v>0011</v>
      </c>
      <c r="G268" s="60"/>
      <c r="H268" s="61">
        <v>4314</v>
      </c>
      <c r="I268" s="61">
        <v>4302</v>
      </c>
      <c r="J268" s="62">
        <f t="shared" si="21"/>
        <v>63976.62</v>
      </c>
      <c r="K268" s="62">
        <f t="shared" si="22"/>
        <v>12</v>
      </c>
      <c r="L268" s="62">
        <f t="shared" si="23"/>
        <v>12</v>
      </c>
      <c r="M268" s="63">
        <f t="shared" si="24"/>
        <v>177.96</v>
      </c>
    </row>
    <row r="269" spans="1:13" ht="12.75" hidden="1" x14ac:dyDescent="0.2">
      <c r="A269" s="56" t="s">
        <v>30</v>
      </c>
      <c r="B269" s="56" t="s">
        <v>31</v>
      </c>
      <c r="C269" s="57" t="s">
        <v>515</v>
      </c>
      <c r="D269" s="58">
        <v>2.82</v>
      </c>
      <c r="E269" s="58" t="s">
        <v>11</v>
      </c>
      <c r="F269" s="59" t="str">
        <f t="shared" si="20"/>
        <v>0011</v>
      </c>
      <c r="G269" s="60"/>
      <c r="H269" s="61">
        <v>0</v>
      </c>
      <c r="I269" s="61">
        <v>60</v>
      </c>
      <c r="J269" s="62">
        <f t="shared" si="21"/>
        <v>0</v>
      </c>
      <c r="K269" s="62">
        <f t="shared" si="22"/>
        <v>-60</v>
      </c>
      <c r="L269" s="62">
        <f t="shared" si="23"/>
        <v>-60</v>
      </c>
      <c r="M269" s="63">
        <f t="shared" si="24"/>
        <v>-169.2</v>
      </c>
    </row>
    <row r="270" spans="1:13" ht="12.75" hidden="1" x14ac:dyDescent="0.2">
      <c r="A270" s="65" t="s">
        <v>58</v>
      </c>
      <c r="B270" s="65" t="s">
        <v>59</v>
      </c>
      <c r="C270" s="66" t="s">
        <v>132</v>
      </c>
      <c r="D270" s="67">
        <v>10.46</v>
      </c>
      <c r="E270" s="67" t="s">
        <v>11</v>
      </c>
      <c r="F270" s="68" t="str">
        <f t="shared" si="20"/>
        <v>0011</v>
      </c>
      <c r="G270" s="69"/>
      <c r="H270" s="70">
        <v>16</v>
      </c>
      <c r="I270" s="70">
        <v>0</v>
      </c>
      <c r="J270" s="62">
        <f t="shared" si="21"/>
        <v>167.36</v>
      </c>
      <c r="K270" s="62">
        <f t="shared" si="22"/>
        <v>16</v>
      </c>
      <c r="L270" s="62">
        <f t="shared" si="23"/>
        <v>16</v>
      </c>
      <c r="M270" s="63">
        <f t="shared" si="24"/>
        <v>167.36</v>
      </c>
    </row>
    <row r="271" spans="1:13" ht="12.75" hidden="1" x14ac:dyDescent="0.2">
      <c r="A271" s="65" t="s">
        <v>232</v>
      </c>
      <c r="B271" s="65" t="s">
        <v>233</v>
      </c>
      <c r="C271" s="66" t="s">
        <v>637</v>
      </c>
      <c r="D271" s="67">
        <v>27.68</v>
      </c>
      <c r="E271" s="67" t="s">
        <v>11</v>
      </c>
      <c r="F271" s="68" t="str">
        <f t="shared" si="20"/>
        <v>0011</v>
      </c>
      <c r="G271" s="69"/>
      <c r="H271" s="70">
        <v>6</v>
      </c>
      <c r="I271" s="70">
        <v>0</v>
      </c>
      <c r="J271" s="62">
        <f t="shared" si="21"/>
        <v>166.07999999999998</v>
      </c>
      <c r="K271" s="62">
        <f t="shared" si="22"/>
        <v>6</v>
      </c>
      <c r="L271" s="62">
        <f t="shared" si="23"/>
        <v>6</v>
      </c>
      <c r="M271" s="63">
        <f t="shared" si="24"/>
        <v>166.07999999999998</v>
      </c>
    </row>
    <row r="272" spans="1:13" ht="12.75" hidden="1" x14ac:dyDescent="0.2">
      <c r="A272" s="56" t="s">
        <v>35</v>
      </c>
      <c r="B272" s="56" t="s">
        <v>36</v>
      </c>
      <c r="C272" s="57" t="s">
        <v>523</v>
      </c>
      <c r="D272" s="58">
        <v>2.97</v>
      </c>
      <c r="E272" s="58" t="s">
        <v>11</v>
      </c>
      <c r="F272" s="59" t="str">
        <f t="shared" si="20"/>
        <v>0011</v>
      </c>
      <c r="G272" s="60"/>
      <c r="H272" s="61">
        <v>5</v>
      </c>
      <c r="I272" s="61">
        <v>60</v>
      </c>
      <c r="J272" s="62">
        <f t="shared" si="21"/>
        <v>14.850000000000001</v>
      </c>
      <c r="K272" s="62">
        <f t="shared" si="22"/>
        <v>-55</v>
      </c>
      <c r="L272" s="62">
        <f t="shared" si="23"/>
        <v>-55</v>
      </c>
      <c r="M272" s="63">
        <f t="shared" si="24"/>
        <v>-163.35000000000002</v>
      </c>
    </row>
    <row r="273" spans="1:13" ht="12.75" hidden="1" x14ac:dyDescent="0.2">
      <c r="A273" s="56" t="s">
        <v>38</v>
      </c>
      <c r="B273" s="56" t="s">
        <v>39</v>
      </c>
      <c r="C273" s="57" t="s">
        <v>253</v>
      </c>
      <c r="D273" s="58">
        <v>2.95</v>
      </c>
      <c r="E273" s="58" t="s">
        <v>11</v>
      </c>
      <c r="F273" s="59" t="str">
        <f t="shared" si="20"/>
        <v>0011</v>
      </c>
      <c r="G273" s="60"/>
      <c r="H273" s="61">
        <v>4</v>
      </c>
      <c r="I273" s="61">
        <v>58</v>
      </c>
      <c r="J273" s="62">
        <f t="shared" si="21"/>
        <v>11.8</v>
      </c>
      <c r="K273" s="62">
        <f t="shared" si="22"/>
        <v>-54</v>
      </c>
      <c r="L273" s="62">
        <f t="shared" si="23"/>
        <v>-54</v>
      </c>
      <c r="M273" s="63">
        <f t="shared" si="24"/>
        <v>-159.30000000000001</v>
      </c>
    </row>
    <row r="274" spans="1:13" ht="12.75" hidden="1" x14ac:dyDescent="0.2">
      <c r="A274" s="56" t="s">
        <v>161</v>
      </c>
      <c r="B274" s="56" t="s">
        <v>162</v>
      </c>
      <c r="C274" s="57"/>
      <c r="D274" s="58">
        <v>156.82</v>
      </c>
      <c r="E274" s="58" t="s">
        <v>11</v>
      </c>
      <c r="F274" s="59" t="str">
        <f t="shared" si="20"/>
        <v>0011</v>
      </c>
      <c r="G274" s="60"/>
      <c r="H274" s="61">
        <v>0</v>
      </c>
      <c r="I274" s="61">
        <v>1</v>
      </c>
      <c r="J274" s="62">
        <f t="shared" si="21"/>
        <v>0</v>
      </c>
      <c r="K274" s="62">
        <f t="shared" si="22"/>
        <v>-1</v>
      </c>
      <c r="L274" s="62">
        <f t="shared" si="23"/>
        <v>-1</v>
      </c>
      <c r="M274" s="63">
        <f t="shared" si="24"/>
        <v>-156.82</v>
      </c>
    </row>
    <row r="275" spans="1:13" ht="12.75" hidden="1" x14ac:dyDescent="0.2">
      <c r="A275" s="56" t="s">
        <v>217</v>
      </c>
      <c r="B275" s="56" t="s">
        <v>218</v>
      </c>
      <c r="C275" s="57" t="s">
        <v>89</v>
      </c>
      <c r="D275" s="58">
        <v>13.96</v>
      </c>
      <c r="E275" s="58" t="s">
        <v>11</v>
      </c>
      <c r="F275" s="59" t="str">
        <f t="shared" si="20"/>
        <v>0011</v>
      </c>
      <c r="G275" s="60"/>
      <c r="H275" s="61">
        <v>698</v>
      </c>
      <c r="I275" s="61">
        <v>709</v>
      </c>
      <c r="J275" s="62">
        <f t="shared" si="21"/>
        <v>9744.08</v>
      </c>
      <c r="K275" s="62">
        <f t="shared" si="22"/>
        <v>-11</v>
      </c>
      <c r="L275" s="62">
        <f t="shared" si="23"/>
        <v>-11</v>
      </c>
      <c r="M275" s="63">
        <f t="shared" si="24"/>
        <v>-153.56</v>
      </c>
    </row>
    <row r="276" spans="1:13" ht="12.75" hidden="1" x14ac:dyDescent="0.2">
      <c r="A276" s="56" t="s">
        <v>470</v>
      </c>
      <c r="B276" s="56" t="s">
        <v>471</v>
      </c>
      <c r="C276" s="57"/>
      <c r="D276" s="58">
        <v>50.95</v>
      </c>
      <c r="E276" s="58" t="s">
        <v>11</v>
      </c>
      <c r="F276" s="59" t="str">
        <f t="shared" si="20"/>
        <v>0011</v>
      </c>
      <c r="G276" s="60"/>
      <c r="H276" s="61">
        <v>0</v>
      </c>
      <c r="I276" s="61">
        <v>3</v>
      </c>
      <c r="J276" s="62">
        <f t="shared" si="21"/>
        <v>0</v>
      </c>
      <c r="K276" s="62">
        <f t="shared" si="22"/>
        <v>-3</v>
      </c>
      <c r="L276" s="62">
        <f t="shared" si="23"/>
        <v>-3</v>
      </c>
      <c r="M276" s="63">
        <f t="shared" si="24"/>
        <v>-152.85000000000002</v>
      </c>
    </row>
    <row r="277" spans="1:13" ht="12.75" hidden="1" x14ac:dyDescent="0.2">
      <c r="A277" s="56" t="s">
        <v>236</v>
      </c>
      <c r="B277" s="56" t="s">
        <v>237</v>
      </c>
      <c r="C277" s="57" t="s">
        <v>492</v>
      </c>
      <c r="D277" s="58">
        <v>15.08</v>
      </c>
      <c r="E277" s="58" t="s">
        <v>11</v>
      </c>
      <c r="F277" s="59" t="str">
        <f t="shared" si="20"/>
        <v>0011</v>
      </c>
      <c r="G277" s="60"/>
      <c r="H277" s="61">
        <v>0</v>
      </c>
      <c r="I277" s="61">
        <v>10</v>
      </c>
      <c r="J277" s="62">
        <f t="shared" si="21"/>
        <v>0</v>
      </c>
      <c r="K277" s="62">
        <f t="shared" si="22"/>
        <v>-10</v>
      </c>
      <c r="L277" s="62">
        <f t="shared" si="23"/>
        <v>-10</v>
      </c>
      <c r="M277" s="63">
        <f t="shared" si="24"/>
        <v>-150.80000000000001</v>
      </c>
    </row>
    <row r="278" spans="1:13" ht="12.75" hidden="1" x14ac:dyDescent="0.2">
      <c r="A278" s="56" t="s">
        <v>65</v>
      </c>
      <c r="B278" s="56" t="s">
        <v>66</v>
      </c>
      <c r="C278" s="57" t="s">
        <v>290</v>
      </c>
      <c r="D278" s="58">
        <v>6.18</v>
      </c>
      <c r="E278" s="58" t="s">
        <v>11</v>
      </c>
      <c r="F278" s="59" t="str">
        <f t="shared" si="20"/>
        <v>0011</v>
      </c>
      <c r="G278" s="60"/>
      <c r="H278" s="61">
        <v>0</v>
      </c>
      <c r="I278" s="61">
        <v>24</v>
      </c>
      <c r="J278" s="62">
        <f t="shared" si="21"/>
        <v>0</v>
      </c>
      <c r="K278" s="62">
        <f t="shared" si="22"/>
        <v>-24</v>
      </c>
      <c r="L278" s="62">
        <f t="shared" si="23"/>
        <v>-24</v>
      </c>
      <c r="M278" s="63">
        <f t="shared" si="24"/>
        <v>-148.32</v>
      </c>
    </row>
    <row r="279" spans="1:13" ht="12.75" hidden="1" x14ac:dyDescent="0.2">
      <c r="A279" s="65" t="s">
        <v>38</v>
      </c>
      <c r="B279" s="65" t="s">
        <v>39</v>
      </c>
      <c r="C279" s="66" t="s">
        <v>110</v>
      </c>
      <c r="D279" s="67">
        <v>2.95</v>
      </c>
      <c r="E279" s="67" t="s">
        <v>11</v>
      </c>
      <c r="F279" s="68" t="str">
        <f t="shared" si="20"/>
        <v>0011</v>
      </c>
      <c r="G279" s="69"/>
      <c r="H279" s="70">
        <v>49</v>
      </c>
      <c r="I279" s="70">
        <v>0</v>
      </c>
      <c r="J279" s="62">
        <f t="shared" si="21"/>
        <v>144.55000000000001</v>
      </c>
      <c r="K279" s="62">
        <f t="shared" si="22"/>
        <v>49</v>
      </c>
      <c r="L279" s="62">
        <f t="shared" si="23"/>
        <v>49</v>
      </c>
      <c r="M279" s="63">
        <f t="shared" si="24"/>
        <v>144.55000000000001</v>
      </c>
    </row>
    <row r="280" spans="1:13" ht="12.75" hidden="1" x14ac:dyDescent="0.2">
      <c r="A280" s="56" t="s">
        <v>38</v>
      </c>
      <c r="B280" s="56" t="s">
        <v>39</v>
      </c>
      <c r="C280" s="57" t="s">
        <v>528</v>
      </c>
      <c r="D280" s="58">
        <v>2.95</v>
      </c>
      <c r="E280" s="58" t="s">
        <v>11</v>
      </c>
      <c r="F280" s="59" t="str">
        <f t="shared" si="20"/>
        <v>0011</v>
      </c>
      <c r="G280" s="60"/>
      <c r="H280" s="61">
        <v>0</v>
      </c>
      <c r="I280" s="61">
        <v>48</v>
      </c>
      <c r="J280" s="62">
        <f t="shared" si="21"/>
        <v>0</v>
      </c>
      <c r="K280" s="62">
        <f t="shared" si="22"/>
        <v>-48</v>
      </c>
      <c r="L280" s="62">
        <f t="shared" si="23"/>
        <v>-48</v>
      </c>
      <c r="M280" s="63">
        <f t="shared" si="24"/>
        <v>-141.60000000000002</v>
      </c>
    </row>
    <row r="281" spans="1:13" ht="12.75" hidden="1" x14ac:dyDescent="0.2">
      <c r="A281" s="56" t="s">
        <v>217</v>
      </c>
      <c r="B281" s="56" t="s">
        <v>218</v>
      </c>
      <c r="C281" s="57" t="s">
        <v>475</v>
      </c>
      <c r="D281" s="58">
        <v>13.96</v>
      </c>
      <c r="E281" s="58" t="s">
        <v>11</v>
      </c>
      <c r="F281" s="59" t="str">
        <f t="shared" si="20"/>
        <v>0011</v>
      </c>
      <c r="G281" s="60"/>
      <c r="H281" s="61">
        <v>0</v>
      </c>
      <c r="I281" s="61">
        <v>10</v>
      </c>
      <c r="J281" s="62">
        <f t="shared" si="21"/>
        <v>0</v>
      </c>
      <c r="K281" s="62">
        <f t="shared" si="22"/>
        <v>-10</v>
      </c>
      <c r="L281" s="62">
        <f t="shared" si="23"/>
        <v>-10</v>
      </c>
      <c r="M281" s="63">
        <f t="shared" si="24"/>
        <v>-139.60000000000002</v>
      </c>
    </row>
    <row r="282" spans="1:13" ht="12.75" hidden="1" x14ac:dyDescent="0.2">
      <c r="A282" s="56" t="s">
        <v>44</v>
      </c>
      <c r="B282" s="56" t="s">
        <v>45</v>
      </c>
      <c r="C282" s="57" t="s">
        <v>256</v>
      </c>
      <c r="D282" s="58">
        <v>2.95</v>
      </c>
      <c r="E282" s="58" t="s">
        <v>11</v>
      </c>
      <c r="F282" s="59" t="str">
        <f t="shared" si="20"/>
        <v>0011</v>
      </c>
      <c r="G282" s="60"/>
      <c r="H282" s="61">
        <v>0</v>
      </c>
      <c r="I282" s="61">
        <v>47</v>
      </c>
      <c r="J282" s="62">
        <f t="shared" si="21"/>
        <v>0</v>
      </c>
      <c r="K282" s="62">
        <f t="shared" si="22"/>
        <v>-47</v>
      </c>
      <c r="L282" s="62">
        <f t="shared" si="23"/>
        <v>-47</v>
      </c>
      <c r="M282" s="63">
        <f t="shared" si="24"/>
        <v>-138.65</v>
      </c>
    </row>
    <row r="283" spans="1:13" ht="12.75" hidden="1" x14ac:dyDescent="0.2">
      <c r="A283" s="56" t="s">
        <v>49</v>
      </c>
      <c r="B283" s="56" t="s">
        <v>50</v>
      </c>
      <c r="C283" s="57" t="s">
        <v>551</v>
      </c>
      <c r="D283" s="58">
        <v>21.81</v>
      </c>
      <c r="E283" s="58" t="s">
        <v>11</v>
      </c>
      <c r="F283" s="59" t="str">
        <f t="shared" si="20"/>
        <v>0011</v>
      </c>
      <c r="G283" s="60"/>
      <c r="H283" s="61">
        <v>168</v>
      </c>
      <c r="I283" s="61">
        <v>162</v>
      </c>
      <c r="J283" s="62">
        <f t="shared" si="21"/>
        <v>3664.08</v>
      </c>
      <c r="K283" s="62">
        <f t="shared" si="22"/>
        <v>6</v>
      </c>
      <c r="L283" s="62">
        <f t="shared" si="23"/>
        <v>6</v>
      </c>
      <c r="M283" s="63">
        <f t="shared" si="24"/>
        <v>130.85999999999999</v>
      </c>
    </row>
    <row r="284" spans="1:13" ht="12.75" hidden="1" x14ac:dyDescent="0.2">
      <c r="A284" s="56" t="s">
        <v>9</v>
      </c>
      <c r="B284" s="56" t="s">
        <v>10</v>
      </c>
      <c r="C284" s="57"/>
      <c r="D284" s="58">
        <v>65.41</v>
      </c>
      <c r="E284" s="58" t="s">
        <v>11</v>
      </c>
      <c r="F284" s="59" t="str">
        <f t="shared" si="20"/>
        <v>0011</v>
      </c>
      <c r="G284" s="60"/>
      <c r="H284" s="61">
        <v>0</v>
      </c>
      <c r="I284" s="61">
        <v>2</v>
      </c>
      <c r="J284" s="62">
        <f t="shared" si="21"/>
        <v>0</v>
      </c>
      <c r="K284" s="62">
        <f t="shared" si="22"/>
        <v>-2</v>
      </c>
      <c r="L284" s="62">
        <f t="shared" si="23"/>
        <v>-2</v>
      </c>
      <c r="M284" s="63">
        <f t="shared" si="24"/>
        <v>-130.82</v>
      </c>
    </row>
    <row r="285" spans="1:13" ht="12.75" hidden="1" x14ac:dyDescent="0.2">
      <c r="A285" s="56" t="s">
        <v>115</v>
      </c>
      <c r="B285" s="56" t="s">
        <v>116</v>
      </c>
      <c r="C285" s="57" t="s">
        <v>557</v>
      </c>
      <c r="D285" s="58">
        <v>3.62</v>
      </c>
      <c r="E285" s="58" t="s">
        <v>11</v>
      </c>
      <c r="F285" s="59" t="str">
        <f t="shared" si="20"/>
        <v>0011</v>
      </c>
      <c r="G285" s="60"/>
      <c r="H285" s="61">
        <v>0</v>
      </c>
      <c r="I285" s="61">
        <v>36</v>
      </c>
      <c r="J285" s="62">
        <f t="shared" si="21"/>
        <v>0</v>
      </c>
      <c r="K285" s="62">
        <f t="shared" si="22"/>
        <v>-36</v>
      </c>
      <c r="L285" s="62">
        <f t="shared" si="23"/>
        <v>-36</v>
      </c>
      <c r="M285" s="63">
        <f t="shared" si="24"/>
        <v>-130.32</v>
      </c>
    </row>
    <row r="286" spans="1:13" ht="12.75" hidden="1" x14ac:dyDescent="0.2">
      <c r="A286" s="56" t="s">
        <v>55</v>
      </c>
      <c r="B286" s="56" t="s">
        <v>56</v>
      </c>
      <c r="C286" s="57" t="s">
        <v>574</v>
      </c>
      <c r="D286" s="58">
        <v>3.32</v>
      </c>
      <c r="E286" s="58" t="s">
        <v>11</v>
      </c>
      <c r="F286" s="59" t="str">
        <f t="shared" si="20"/>
        <v>0011</v>
      </c>
      <c r="G286" s="60"/>
      <c r="H286" s="61">
        <v>6084</v>
      </c>
      <c r="I286" s="61">
        <v>6048</v>
      </c>
      <c r="J286" s="62">
        <f t="shared" si="21"/>
        <v>20198.879999999997</v>
      </c>
      <c r="K286" s="62">
        <f t="shared" si="22"/>
        <v>36</v>
      </c>
      <c r="L286" s="62">
        <f t="shared" si="23"/>
        <v>36</v>
      </c>
      <c r="M286" s="63">
        <f t="shared" si="24"/>
        <v>119.52</v>
      </c>
    </row>
    <row r="287" spans="1:13" ht="12.75" hidden="1" x14ac:dyDescent="0.2">
      <c r="A287" s="56" t="s">
        <v>123</v>
      </c>
      <c r="B287" s="56" t="s">
        <v>124</v>
      </c>
      <c r="C287" s="57" t="s">
        <v>269</v>
      </c>
      <c r="D287" s="58">
        <v>7.73</v>
      </c>
      <c r="E287" s="58" t="s">
        <v>11</v>
      </c>
      <c r="F287" s="59" t="str">
        <f t="shared" si="20"/>
        <v>0011</v>
      </c>
      <c r="G287" s="60"/>
      <c r="H287" s="61">
        <v>0</v>
      </c>
      <c r="I287" s="61">
        <v>15</v>
      </c>
      <c r="J287" s="62">
        <f t="shared" si="21"/>
        <v>0</v>
      </c>
      <c r="K287" s="62">
        <f t="shared" si="22"/>
        <v>-15</v>
      </c>
      <c r="L287" s="62">
        <f t="shared" si="23"/>
        <v>-15</v>
      </c>
      <c r="M287" s="63">
        <f t="shared" si="24"/>
        <v>-115.95</v>
      </c>
    </row>
    <row r="288" spans="1:13" ht="12.75" hidden="1" x14ac:dyDescent="0.2">
      <c r="A288" s="56" t="s">
        <v>30</v>
      </c>
      <c r="B288" s="56" t="s">
        <v>31</v>
      </c>
      <c r="C288" s="57" t="s">
        <v>104</v>
      </c>
      <c r="D288" s="58">
        <v>2.82</v>
      </c>
      <c r="E288" s="58" t="s">
        <v>11</v>
      </c>
      <c r="F288" s="59" t="str">
        <f t="shared" si="20"/>
        <v>0011</v>
      </c>
      <c r="G288" s="60"/>
      <c r="H288" s="61">
        <v>0</v>
      </c>
      <c r="I288" s="61">
        <v>41</v>
      </c>
      <c r="J288" s="62">
        <f t="shared" si="21"/>
        <v>0</v>
      </c>
      <c r="K288" s="62">
        <f t="shared" si="22"/>
        <v>-41</v>
      </c>
      <c r="L288" s="62">
        <f t="shared" si="23"/>
        <v>-41</v>
      </c>
      <c r="M288" s="63">
        <f t="shared" si="24"/>
        <v>-115.61999999999999</v>
      </c>
    </row>
    <row r="289" spans="1:13" ht="12.75" hidden="1" x14ac:dyDescent="0.2">
      <c r="A289" s="65" t="s">
        <v>51</v>
      </c>
      <c r="B289" s="65" t="s">
        <v>52</v>
      </c>
      <c r="C289" s="66" t="s">
        <v>266</v>
      </c>
      <c r="D289" s="67">
        <v>7.04</v>
      </c>
      <c r="E289" s="67" t="s">
        <v>11</v>
      </c>
      <c r="F289" s="68" t="str">
        <f t="shared" si="20"/>
        <v>0011</v>
      </c>
      <c r="G289" s="69"/>
      <c r="H289" s="70">
        <v>16</v>
      </c>
      <c r="I289" s="70">
        <v>0</v>
      </c>
      <c r="J289" s="62">
        <f t="shared" si="21"/>
        <v>112.64</v>
      </c>
      <c r="K289" s="62">
        <f t="shared" si="22"/>
        <v>16</v>
      </c>
      <c r="L289" s="62">
        <f t="shared" si="23"/>
        <v>16</v>
      </c>
      <c r="M289" s="63">
        <f t="shared" si="24"/>
        <v>112.64</v>
      </c>
    </row>
    <row r="290" spans="1:13" ht="12.75" hidden="1" x14ac:dyDescent="0.2">
      <c r="A290" s="56" t="s">
        <v>35</v>
      </c>
      <c r="B290" s="56" t="s">
        <v>36</v>
      </c>
      <c r="C290" s="57" t="s">
        <v>37</v>
      </c>
      <c r="D290" s="58">
        <v>2.97</v>
      </c>
      <c r="E290" s="58" t="s">
        <v>11</v>
      </c>
      <c r="F290" s="59" t="str">
        <f t="shared" si="20"/>
        <v>0011</v>
      </c>
      <c r="G290" s="60"/>
      <c r="H290" s="61">
        <v>0</v>
      </c>
      <c r="I290" s="61">
        <v>36</v>
      </c>
      <c r="J290" s="62">
        <f t="shared" si="21"/>
        <v>0</v>
      </c>
      <c r="K290" s="62">
        <f t="shared" si="22"/>
        <v>-36</v>
      </c>
      <c r="L290" s="62">
        <f t="shared" si="23"/>
        <v>-36</v>
      </c>
      <c r="M290" s="63">
        <f t="shared" si="24"/>
        <v>-106.92</v>
      </c>
    </row>
    <row r="291" spans="1:13" ht="12.75" hidden="1" x14ac:dyDescent="0.2">
      <c r="A291" s="65" t="s">
        <v>133</v>
      </c>
      <c r="B291" s="65" t="s">
        <v>129</v>
      </c>
      <c r="C291" s="66" t="s">
        <v>519</v>
      </c>
      <c r="D291" s="67">
        <v>10.199999999999999</v>
      </c>
      <c r="E291" s="67" t="s">
        <v>11</v>
      </c>
      <c r="F291" s="68" t="str">
        <f t="shared" si="20"/>
        <v>0011</v>
      </c>
      <c r="G291" s="69"/>
      <c r="H291" s="70">
        <v>10</v>
      </c>
      <c r="I291" s="70">
        <v>0</v>
      </c>
      <c r="J291" s="62">
        <f t="shared" si="21"/>
        <v>102</v>
      </c>
      <c r="K291" s="62">
        <f t="shared" si="22"/>
        <v>10</v>
      </c>
      <c r="L291" s="62">
        <f t="shared" si="23"/>
        <v>10</v>
      </c>
      <c r="M291" s="63">
        <f t="shared" si="24"/>
        <v>102</v>
      </c>
    </row>
    <row r="292" spans="1:13" ht="12.75" hidden="1" x14ac:dyDescent="0.2">
      <c r="A292" s="56" t="s">
        <v>328</v>
      </c>
      <c r="B292" s="56" t="s">
        <v>329</v>
      </c>
      <c r="C292" s="57" t="s">
        <v>330</v>
      </c>
      <c r="D292" s="58">
        <v>100.99</v>
      </c>
      <c r="E292" s="58" t="s">
        <v>11</v>
      </c>
      <c r="F292" s="59" t="str">
        <f t="shared" si="20"/>
        <v>0011</v>
      </c>
      <c r="G292" s="60"/>
      <c r="H292" s="61">
        <v>0</v>
      </c>
      <c r="I292" s="61">
        <v>1</v>
      </c>
      <c r="J292" s="62">
        <f t="shared" si="21"/>
        <v>0</v>
      </c>
      <c r="K292" s="62">
        <f t="shared" si="22"/>
        <v>-1</v>
      </c>
      <c r="L292" s="62">
        <f t="shared" si="23"/>
        <v>-1</v>
      </c>
      <c r="M292" s="63">
        <f t="shared" si="24"/>
        <v>-100.99</v>
      </c>
    </row>
    <row r="293" spans="1:13" ht="12.75" hidden="1" x14ac:dyDescent="0.2">
      <c r="A293" s="56" t="s">
        <v>468</v>
      </c>
      <c r="B293" s="56" t="s">
        <v>469</v>
      </c>
      <c r="C293" s="57" t="s">
        <v>16</v>
      </c>
      <c r="D293" s="58">
        <v>2</v>
      </c>
      <c r="E293" s="58" t="s">
        <v>11</v>
      </c>
      <c r="F293" s="59" t="str">
        <f t="shared" si="20"/>
        <v>0011</v>
      </c>
      <c r="G293" s="60"/>
      <c r="H293" s="61">
        <v>0</v>
      </c>
      <c r="I293" s="61">
        <v>50</v>
      </c>
      <c r="J293" s="62">
        <f t="shared" si="21"/>
        <v>0</v>
      </c>
      <c r="K293" s="62">
        <f t="shared" si="22"/>
        <v>-50</v>
      </c>
      <c r="L293" s="62">
        <f t="shared" si="23"/>
        <v>-50</v>
      </c>
      <c r="M293" s="63">
        <f t="shared" si="24"/>
        <v>-100</v>
      </c>
    </row>
    <row r="294" spans="1:13" ht="12.75" hidden="1" x14ac:dyDescent="0.2">
      <c r="A294" s="56" t="s">
        <v>458</v>
      </c>
      <c r="B294" s="56" t="s">
        <v>459</v>
      </c>
      <c r="C294" s="57"/>
      <c r="D294" s="58">
        <v>12.05</v>
      </c>
      <c r="E294" s="58" t="s">
        <v>11</v>
      </c>
      <c r="F294" s="59" t="str">
        <f t="shared" si="20"/>
        <v>0011</v>
      </c>
      <c r="G294" s="60"/>
      <c r="H294" s="61">
        <v>588</v>
      </c>
      <c r="I294" s="61">
        <v>596</v>
      </c>
      <c r="J294" s="62">
        <f t="shared" si="21"/>
        <v>7085.4000000000005</v>
      </c>
      <c r="K294" s="62">
        <f t="shared" si="22"/>
        <v>-8</v>
      </c>
      <c r="L294" s="62">
        <f t="shared" si="23"/>
        <v>-8</v>
      </c>
      <c r="M294" s="63">
        <f t="shared" si="24"/>
        <v>-96.4</v>
      </c>
    </row>
    <row r="295" spans="1:13" ht="12.75" hidden="1" x14ac:dyDescent="0.2">
      <c r="A295" s="65" t="s">
        <v>23</v>
      </c>
      <c r="B295" s="65" t="s">
        <v>24</v>
      </c>
      <c r="C295" s="66" t="s">
        <v>647</v>
      </c>
      <c r="D295" s="67">
        <v>7.97</v>
      </c>
      <c r="E295" s="67" t="s">
        <v>11</v>
      </c>
      <c r="F295" s="68" t="str">
        <f t="shared" si="20"/>
        <v>0011</v>
      </c>
      <c r="G295" s="69"/>
      <c r="H295" s="70">
        <v>12</v>
      </c>
      <c r="I295" s="70">
        <v>0</v>
      </c>
      <c r="J295" s="62">
        <f t="shared" si="21"/>
        <v>95.64</v>
      </c>
      <c r="K295" s="62">
        <f t="shared" si="22"/>
        <v>12</v>
      </c>
      <c r="L295" s="62">
        <f t="shared" si="23"/>
        <v>12</v>
      </c>
      <c r="M295" s="63">
        <f t="shared" si="24"/>
        <v>95.64</v>
      </c>
    </row>
    <row r="296" spans="1:13" ht="12.75" hidden="1" x14ac:dyDescent="0.2">
      <c r="A296" s="56" t="s">
        <v>131</v>
      </c>
      <c r="B296" s="56" t="s">
        <v>130</v>
      </c>
      <c r="C296" s="57" t="s">
        <v>576</v>
      </c>
      <c r="D296" s="58">
        <v>10.210000000000001</v>
      </c>
      <c r="E296" s="58" t="s">
        <v>11</v>
      </c>
      <c r="F296" s="59" t="str">
        <f t="shared" si="20"/>
        <v>0011</v>
      </c>
      <c r="G296" s="60"/>
      <c r="H296" s="61">
        <v>0</v>
      </c>
      <c r="I296" s="61">
        <v>9</v>
      </c>
      <c r="J296" s="62">
        <f t="shared" si="21"/>
        <v>0</v>
      </c>
      <c r="K296" s="62">
        <f t="shared" si="22"/>
        <v>-9</v>
      </c>
      <c r="L296" s="62">
        <f t="shared" si="23"/>
        <v>-9</v>
      </c>
      <c r="M296" s="63">
        <f t="shared" si="24"/>
        <v>-91.890000000000015</v>
      </c>
    </row>
    <row r="297" spans="1:13" ht="12.75" hidden="1" x14ac:dyDescent="0.2">
      <c r="A297" s="56" t="s">
        <v>333</v>
      </c>
      <c r="B297" s="56" t="s">
        <v>334</v>
      </c>
      <c r="C297" s="57"/>
      <c r="D297" s="58">
        <v>22.65</v>
      </c>
      <c r="E297" s="58" t="s">
        <v>11</v>
      </c>
      <c r="F297" s="59" t="str">
        <f t="shared" si="20"/>
        <v>0011</v>
      </c>
      <c r="G297" s="60"/>
      <c r="H297" s="61">
        <v>536</v>
      </c>
      <c r="I297" s="61">
        <v>532</v>
      </c>
      <c r="J297" s="62">
        <f t="shared" si="21"/>
        <v>12140.4</v>
      </c>
      <c r="K297" s="62">
        <f t="shared" si="22"/>
        <v>4</v>
      </c>
      <c r="L297" s="62">
        <f t="shared" si="23"/>
        <v>4</v>
      </c>
      <c r="M297" s="63">
        <f t="shared" si="24"/>
        <v>90.6</v>
      </c>
    </row>
    <row r="298" spans="1:13" ht="12.75" hidden="1" x14ac:dyDescent="0.2">
      <c r="A298" s="65" t="s">
        <v>220</v>
      </c>
      <c r="B298" s="65" t="s">
        <v>221</v>
      </c>
      <c r="C298" s="66" t="s">
        <v>664</v>
      </c>
      <c r="D298" s="67">
        <v>14.83</v>
      </c>
      <c r="E298" s="67" t="s">
        <v>11</v>
      </c>
      <c r="F298" s="68" t="str">
        <f t="shared" si="20"/>
        <v>0011</v>
      </c>
      <c r="G298" s="69"/>
      <c r="H298" s="70">
        <v>6</v>
      </c>
      <c r="I298" s="70">
        <v>0</v>
      </c>
      <c r="J298" s="62">
        <f t="shared" si="21"/>
        <v>88.98</v>
      </c>
      <c r="K298" s="62">
        <f t="shared" si="22"/>
        <v>6</v>
      </c>
      <c r="L298" s="62">
        <f t="shared" si="23"/>
        <v>6</v>
      </c>
      <c r="M298" s="63">
        <f t="shared" si="24"/>
        <v>88.98</v>
      </c>
    </row>
    <row r="299" spans="1:13" ht="12.75" hidden="1" x14ac:dyDescent="0.2">
      <c r="A299" s="56" t="s">
        <v>49</v>
      </c>
      <c r="B299" s="56" t="s">
        <v>50</v>
      </c>
      <c r="C299" s="57" t="s">
        <v>552</v>
      </c>
      <c r="D299" s="58">
        <v>21.81</v>
      </c>
      <c r="E299" s="58" t="s">
        <v>11</v>
      </c>
      <c r="F299" s="59" t="str">
        <f t="shared" si="20"/>
        <v>0011</v>
      </c>
      <c r="G299" s="60"/>
      <c r="H299" s="61">
        <v>0</v>
      </c>
      <c r="I299" s="61">
        <v>4</v>
      </c>
      <c r="J299" s="62">
        <f t="shared" si="21"/>
        <v>0</v>
      </c>
      <c r="K299" s="62">
        <f t="shared" si="22"/>
        <v>-4</v>
      </c>
      <c r="L299" s="62">
        <f t="shared" si="23"/>
        <v>-4</v>
      </c>
      <c r="M299" s="63">
        <f t="shared" si="24"/>
        <v>-87.24</v>
      </c>
    </row>
    <row r="300" spans="1:13" ht="12.75" hidden="1" x14ac:dyDescent="0.2">
      <c r="A300" s="65" t="s">
        <v>204</v>
      </c>
      <c r="B300" s="65" t="s">
        <v>205</v>
      </c>
      <c r="C300" s="66" t="s">
        <v>206</v>
      </c>
      <c r="D300" s="67">
        <v>35.83</v>
      </c>
      <c r="E300" s="67" t="s">
        <v>11</v>
      </c>
      <c r="F300" s="68" t="str">
        <f t="shared" si="20"/>
        <v>0011</v>
      </c>
      <c r="G300" s="69"/>
      <c r="H300" s="70">
        <v>2</v>
      </c>
      <c r="I300" s="70">
        <v>0</v>
      </c>
      <c r="J300" s="62">
        <f t="shared" si="21"/>
        <v>71.66</v>
      </c>
      <c r="K300" s="62">
        <f t="shared" si="22"/>
        <v>2</v>
      </c>
      <c r="L300" s="62">
        <f t="shared" si="23"/>
        <v>2</v>
      </c>
      <c r="M300" s="63">
        <f t="shared" si="24"/>
        <v>71.66</v>
      </c>
    </row>
    <row r="301" spans="1:13" ht="12.75" hidden="1" x14ac:dyDescent="0.2">
      <c r="A301" s="56" t="s">
        <v>38</v>
      </c>
      <c r="B301" s="56" t="s">
        <v>39</v>
      </c>
      <c r="C301" s="57" t="s">
        <v>529</v>
      </c>
      <c r="D301" s="58">
        <v>2.95</v>
      </c>
      <c r="E301" s="58" t="s">
        <v>11</v>
      </c>
      <c r="F301" s="59" t="str">
        <f t="shared" si="20"/>
        <v>0011</v>
      </c>
      <c r="G301" s="60"/>
      <c r="H301" s="61">
        <v>0</v>
      </c>
      <c r="I301" s="61">
        <v>24</v>
      </c>
      <c r="J301" s="62">
        <f t="shared" si="21"/>
        <v>0</v>
      </c>
      <c r="K301" s="62">
        <f t="shared" si="22"/>
        <v>-24</v>
      </c>
      <c r="L301" s="62">
        <f t="shared" si="23"/>
        <v>-24</v>
      </c>
      <c r="M301" s="63">
        <f t="shared" si="24"/>
        <v>-70.800000000000011</v>
      </c>
    </row>
    <row r="302" spans="1:13" ht="12.75" hidden="1" x14ac:dyDescent="0.2">
      <c r="A302" s="56" t="s">
        <v>93</v>
      </c>
      <c r="B302" s="56" t="s">
        <v>94</v>
      </c>
      <c r="C302" s="57" t="s">
        <v>466</v>
      </c>
      <c r="D302" s="58">
        <v>11.33</v>
      </c>
      <c r="E302" s="58" t="s">
        <v>11</v>
      </c>
      <c r="F302" s="59" t="str">
        <f t="shared" si="20"/>
        <v>0011</v>
      </c>
      <c r="G302" s="60"/>
      <c r="H302" s="61">
        <v>0</v>
      </c>
      <c r="I302" s="61">
        <v>6</v>
      </c>
      <c r="J302" s="62">
        <f t="shared" si="21"/>
        <v>0</v>
      </c>
      <c r="K302" s="62">
        <f t="shared" si="22"/>
        <v>-6</v>
      </c>
      <c r="L302" s="62">
        <f t="shared" si="23"/>
        <v>-6</v>
      </c>
      <c r="M302" s="63">
        <f t="shared" si="24"/>
        <v>-67.98</v>
      </c>
    </row>
    <row r="303" spans="1:13" ht="12.75" hidden="1" x14ac:dyDescent="0.2">
      <c r="A303" s="56" t="s">
        <v>93</v>
      </c>
      <c r="B303" s="56" t="s">
        <v>94</v>
      </c>
      <c r="C303" s="57" t="s">
        <v>467</v>
      </c>
      <c r="D303" s="58">
        <v>11.33</v>
      </c>
      <c r="E303" s="58" t="s">
        <v>11</v>
      </c>
      <c r="F303" s="59" t="str">
        <f t="shared" si="20"/>
        <v>0011</v>
      </c>
      <c r="G303" s="60"/>
      <c r="H303" s="61">
        <v>0</v>
      </c>
      <c r="I303" s="61">
        <v>6</v>
      </c>
      <c r="J303" s="62">
        <f t="shared" si="21"/>
        <v>0</v>
      </c>
      <c r="K303" s="62">
        <f t="shared" si="22"/>
        <v>-6</v>
      </c>
      <c r="L303" s="62">
        <f t="shared" si="23"/>
        <v>-6</v>
      </c>
      <c r="M303" s="63">
        <f t="shared" si="24"/>
        <v>-67.98</v>
      </c>
    </row>
    <row r="304" spans="1:13" ht="12.75" hidden="1" x14ac:dyDescent="0.2">
      <c r="A304" s="56" t="s">
        <v>152</v>
      </c>
      <c r="B304" s="56" t="s">
        <v>153</v>
      </c>
      <c r="C304" s="57"/>
      <c r="D304" s="58">
        <v>67.400000000000006</v>
      </c>
      <c r="E304" s="58" t="s">
        <v>11</v>
      </c>
      <c r="F304" s="59" t="str">
        <f t="shared" si="20"/>
        <v>0011</v>
      </c>
      <c r="G304" s="60"/>
      <c r="H304" s="61">
        <v>3</v>
      </c>
      <c r="I304" s="61">
        <v>2</v>
      </c>
      <c r="J304" s="62">
        <f t="shared" si="21"/>
        <v>202.20000000000002</v>
      </c>
      <c r="K304" s="62">
        <f t="shared" si="22"/>
        <v>1</v>
      </c>
      <c r="L304" s="62">
        <f t="shared" si="23"/>
        <v>1</v>
      </c>
      <c r="M304" s="63">
        <f t="shared" si="24"/>
        <v>67.400000000000006</v>
      </c>
    </row>
    <row r="305" spans="1:13" ht="12.75" hidden="1" x14ac:dyDescent="0.2">
      <c r="A305" s="56" t="s">
        <v>49</v>
      </c>
      <c r="B305" s="56" t="s">
        <v>50</v>
      </c>
      <c r="C305" s="57" t="s">
        <v>554</v>
      </c>
      <c r="D305" s="58">
        <v>21.81</v>
      </c>
      <c r="E305" s="58" t="s">
        <v>11</v>
      </c>
      <c r="F305" s="59" t="str">
        <f t="shared" si="20"/>
        <v>0011</v>
      </c>
      <c r="G305" s="60"/>
      <c r="H305" s="61">
        <v>999</v>
      </c>
      <c r="I305" s="61">
        <v>996</v>
      </c>
      <c r="J305" s="62">
        <f t="shared" si="21"/>
        <v>21788.19</v>
      </c>
      <c r="K305" s="62">
        <f t="shared" si="22"/>
        <v>3</v>
      </c>
      <c r="L305" s="62">
        <f t="shared" si="23"/>
        <v>3</v>
      </c>
      <c r="M305" s="63">
        <f t="shared" si="24"/>
        <v>65.429999999999993</v>
      </c>
    </row>
    <row r="306" spans="1:13" ht="12.75" hidden="1" x14ac:dyDescent="0.2">
      <c r="A306" s="56" t="s">
        <v>131</v>
      </c>
      <c r="B306" s="56" t="s">
        <v>130</v>
      </c>
      <c r="C306" s="57" t="s">
        <v>575</v>
      </c>
      <c r="D306" s="58">
        <v>10.210000000000001</v>
      </c>
      <c r="E306" s="58" t="s">
        <v>11</v>
      </c>
      <c r="F306" s="59" t="str">
        <f t="shared" si="20"/>
        <v>0011</v>
      </c>
      <c r="G306" s="60"/>
      <c r="H306" s="61">
        <v>0</v>
      </c>
      <c r="I306" s="61">
        <v>6</v>
      </c>
      <c r="J306" s="62">
        <f t="shared" si="21"/>
        <v>0</v>
      </c>
      <c r="K306" s="62">
        <f t="shared" si="22"/>
        <v>-6</v>
      </c>
      <c r="L306" s="62">
        <f t="shared" si="23"/>
        <v>-6</v>
      </c>
      <c r="M306" s="63">
        <f t="shared" si="24"/>
        <v>-61.260000000000005</v>
      </c>
    </row>
    <row r="307" spans="1:13" ht="12.75" hidden="1" x14ac:dyDescent="0.2">
      <c r="A307" s="56" t="s">
        <v>291</v>
      </c>
      <c r="B307" s="56" t="s">
        <v>292</v>
      </c>
      <c r="C307" s="57"/>
      <c r="D307" s="58">
        <v>54.65</v>
      </c>
      <c r="E307" s="58" t="s">
        <v>293</v>
      </c>
      <c r="F307" s="59" t="str">
        <f t="shared" si="20"/>
        <v>0011</v>
      </c>
      <c r="G307" s="60"/>
      <c r="H307" s="61">
        <v>27</v>
      </c>
      <c r="I307" s="61">
        <v>26</v>
      </c>
      <c r="J307" s="62">
        <f t="shared" si="21"/>
        <v>1475.55</v>
      </c>
      <c r="K307" s="62">
        <f t="shared" si="22"/>
        <v>1</v>
      </c>
      <c r="L307" s="62">
        <f t="shared" si="23"/>
        <v>1</v>
      </c>
      <c r="M307" s="63">
        <f t="shared" si="24"/>
        <v>54.65</v>
      </c>
    </row>
    <row r="308" spans="1:13" ht="12.75" hidden="1" x14ac:dyDescent="0.2">
      <c r="A308" s="56" t="s">
        <v>97</v>
      </c>
      <c r="B308" s="56" t="s">
        <v>98</v>
      </c>
      <c r="C308" s="57" t="s">
        <v>504</v>
      </c>
      <c r="D308" s="58">
        <v>18.18</v>
      </c>
      <c r="E308" s="58" t="s">
        <v>11</v>
      </c>
      <c r="F308" s="59" t="str">
        <f t="shared" si="20"/>
        <v>0011</v>
      </c>
      <c r="G308" s="60"/>
      <c r="H308" s="61">
        <v>0</v>
      </c>
      <c r="I308" s="61">
        <v>3</v>
      </c>
      <c r="J308" s="62">
        <f t="shared" si="21"/>
        <v>0</v>
      </c>
      <c r="K308" s="62">
        <f t="shared" si="22"/>
        <v>-3</v>
      </c>
      <c r="L308" s="62">
        <f t="shared" si="23"/>
        <v>-3</v>
      </c>
      <c r="M308" s="63">
        <f t="shared" si="24"/>
        <v>-54.54</v>
      </c>
    </row>
    <row r="309" spans="1:13" ht="12.75" hidden="1" x14ac:dyDescent="0.2">
      <c r="A309" s="65" t="s">
        <v>58</v>
      </c>
      <c r="B309" s="65" t="s">
        <v>59</v>
      </c>
      <c r="C309" s="66" t="s">
        <v>60</v>
      </c>
      <c r="D309" s="67">
        <v>10.46</v>
      </c>
      <c r="E309" s="67" t="s">
        <v>11</v>
      </c>
      <c r="F309" s="68" t="str">
        <f t="shared" si="20"/>
        <v>0011</v>
      </c>
      <c r="G309" s="69"/>
      <c r="H309" s="70">
        <v>5</v>
      </c>
      <c r="I309" s="70">
        <v>0</v>
      </c>
      <c r="J309" s="62">
        <f t="shared" si="21"/>
        <v>52.300000000000004</v>
      </c>
      <c r="K309" s="62">
        <f t="shared" si="22"/>
        <v>5</v>
      </c>
      <c r="L309" s="62">
        <f t="shared" si="23"/>
        <v>5</v>
      </c>
      <c r="M309" s="63">
        <f t="shared" si="24"/>
        <v>52.300000000000004</v>
      </c>
    </row>
    <row r="310" spans="1:13" ht="12.75" hidden="1" x14ac:dyDescent="0.2">
      <c r="A310" s="56" t="s">
        <v>126</v>
      </c>
      <c r="B310" s="56" t="s">
        <v>127</v>
      </c>
      <c r="C310" s="57" t="s">
        <v>570</v>
      </c>
      <c r="D310" s="58">
        <v>3.03</v>
      </c>
      <c r="E310" s="58" t="s">
        <v>11</v>
      </c>
      <c r="F310" s="59" t="str">
        <f t="shared" si="20"/>
        <v>0011</v>
      </c>
      <c r="G310" s="60"/>
      <c r="H310" s="61">
        <v>2</v>
      </c>
      <c r="I310" s="61">
        <v>19</v>
      </c>
      <c r="J310" s="62">
        <f t="shared" si="21"/>
        <v>6.06</v>
      </c>
      <c r="K310" s="62">
        <f t="shared" si="22"/>
        <v>-17</v>
      </c>
      <c r="L310" s="62">
        <f t="shared" si="23"/>
        <v>-17</v>
      </c>
      <c r="M310" s="63">
        <f t="shared" si="24"/>
        <v>-51.51</v>
      </c>
    </row>
    <row r="311" spans="1:13" ht="12.75" hidden="1" x14ac:dyDescent="0.2">
      <c r="A311" s="56" t="s">
        <v>55</v>
      </c>
      <c r="B311" s="56" t="s">
        <v>56</v>
      </c>
      <c r="C311" s="57" t="s">
        <v>274</v>
      </c>
      <c r="D311" s="58">
        <v>3.32</v>
      </c>
      <c r="E311" s="58" t="s">
        <v>11</v>
      </c>
      <c r="F311" s="59" t="str">
        <f t="shared" si="20"/>
        <v>0011</v>
      </c>
      <c r="G311" s="60"/>
      <c r="H311" s="61">
        <v>1</v>
      </c>
      <c r="I311" s="61">
        <v>16</v>
      </c>
      <c r="J311" s="62">
        <f t="shared" si="21"/>
        <v>3.32</v>
      </c>
      <c r="K311" s="62">
        <f t="shared" si="22"/>
        <v>-15</v>
      </c>
      <c r="L311" s="62">
        <f t="shared" si="23"/>
        <v>-15</v>
      </c>
      <c r="M311" s="63">
        <f t="shared" si="24"/>
        <v>-49.8</v>
      </c>
    </row>
    <row r="312" spans="1:13" ht="12.75" hidden="1" x14ac:dyDescent="0.2">
      <c r="A312" s="65" t="s">
        <v>105</v>
      </c>
      <c r="B312" s="65" t="s">
        <v>106</v>
      </c>
      <c r="C312" s="66" t="s">
        <v>633</v>
      </c>
      <c r="D312" s="67">
        <v>24.23</v>
      </c>
      <c r="E312" s="67" t="s">
        <v>11</v>
      </c>
      <c r="F312" s="68" t="str">
        <f t="shared" si="20"/>
        <v>0011</v>
      </c>
      <c r="G312" s="69"/>
      <c r="H312" s="70">
        <v>2</v>
      </c>
      <c r="I312" s="70">
        <v>0</v>
      </c>
      <c r="J312" s="62">
        <f t="shared" si="21"/>
        <v>48.46</v>
      </c>
      <c r="K312" s="62">
        <f t="shared" si="22"/>
        <v>2</v>
      </c>
      <c r="L312" s="62">
        <f t="shared" si="23"/>
        <v>2</v>
      </c>
      <c r="M312" s="63">
        <f t="shared" si="24"/>
        <v>48.46</v>
      </c>
    </row>
    <row r="313" spans="1:13" ht="12.75" hidden="1" x14ac:dyDescent="0.2">
      <c r="A313" s="65" t="s">
        <v>326</v>
      </c>
      <c r="B313" s="65" t="s">
        <v>327</v>
      </c>
      <c r="C313" s="66" t="s">
        <v>675</v>
      </c>
      <c r="D313" s="67">
        <v>11.18</v>
      </c>
      <c r="E313" s="67" t="s">
        <v>11</v>
      </c>
      <c r="F313" s="68" t="str">
        <f t="shared" si="20"/>
        <v>0011</v>
      </c>
      <c r="G313" s="69"/>
      <c r="H313" s="70">
        <v>4</v>
      </c>
      <c r="I313" s="70">
        <v>0</v>
      </c>
      <c r="J313" s="62">
        <f t="shared" si="21"/>
        <v>44.72</v>
      </c>
      <c r="K313" s="62">
        <f t="shared" si="22"/>
        <v>4</v>
      </c>
      <c r="L313" s="62">
        <f t="shared" si="23"/>
        <v>4</v>
      </c>
      <c r="M313" s="63">
        <f t="shared" si="24"/>
        <v>44.72</v>
      </c>
    </row>
    <row r="314" spans="1:13" ht="12.75" hidden="1" x14ac:dyDescent="0.2">
      <c r="A314" s="56" t="s">
        <v>115</v>
      </c>
      <c r="B314" s="56" t="s">
        <v>116</v>
      </c>
      <c r="C314" s="57" t="s">
        <v>559</v>
      </c>
      <c r="D314" s="58">
        <v>3.62</v>
      </c>
      <c r="E314" s="58" t="s">
        <v>11</v>
      </c>
      <c r="F314" s="59" t="str">
        <f t="shared" si="20"/>
        <v>0011</v>
      </c>
      <c r="G314" s="60"/>
      <c r="H314" s="61">
        <v>0</v>
      </c>
      <c r="I314" s="61">
        <v>12</v>
      </c>
      <c r="J314" s="62">
        <f t="shared" si="21"/>
        <v>0</v>
      </c>
      <c r="K314" s="62">
        <f t="shared" si="22"/>
        <v>-12</v>
      </c>
      <c r="L314" s="62">
        <f t="shared" si="23"/>
        <v>-12</v>
      </c>
      <c r="M314" s="63">
        <f t="shared" si="24"/>
        <v>-43.44</v>
      </c>
    </row>
    <row r="315" spans="1:13" ht="12.75" hidden="1" x14ac:dyDescent="0.2">
      <c r="A315" s="56" t="s">
        <v>223</v>
      </c>
      <c r="B315" s="56" t="s">
        <v>224</v>
      </c>
      <c r="C315" s="57" t="s">
        <v>484</v>
      </c>
      <c r="D315" s="58">
        <v>40.14</v>
      </c>
      <c r="E315" s="58" t="s">
        <v>11</v>
      </c>
      <c r="F315" s="59" t="str">
        <f t="shared" si="20"/>
        <v>0011</v>
      </c>
      <c r="G315" s="60"/>
      <c r="H315" s="61">
        <v>0</v>
      </c>
      <c r="I315" s="61">
        <v>1</v>
      </c>
      <c r="J315" s="62">
        <f t="shared" si="21"/>
        <v>0</v>
      </c>
      <c r="K315" s="62">
        <f t="shared" si="22"/>
        <v>-1</v>
      </c>
      <c r="L315" s="62">
        <f t="shared" si="23"/>
        <v>-1</v>
      </c>
      <c r="M315" s="63">
        <f t="shared" si="24"/>
        <v>-40.14</v>
      </c>
    </row>
    <row r="316" spans="1:13" ht="12.75" hidden="1" x14ac:dyDescent="0.2">
      <c r="A316" s="65" t="s">
        <v>429</v>
      </c>
      <c r="B316" s="65" t="s">
        <v>430</v>
      </c>
      <c r="C316" s="66" t="s">
        <v>669</v>
      </c>
      <c r="D316" s="67">
        <v>39.43</v>
      </c>
      <c r="E316" s="67" t="s">
        <v>11</v>
      </c>
      <c r="F316" s="68" t="str">
        <f t="shared" si="20"/>
        <v>0011</v>
      </c>
      <c r="G316" s="69"/>
      <c r="H316" s="70">
        <v>1</v>
      </c>
      <c r="I316" s="70">
        <v>0</v>
      </c>
      <c r="J316" s="62">
        <f t="shared" si="21"/>
        <v>39.43</v>
      </c>
      <c r="K316" s="62">
        <f t="shared" si="22"/>
        <v>1</v>
      </c>
      <c r="L316" s="62">
        <f t="shared" si="23"/>
        <v>1</v>
      </c>
      <c r="M316" s="63">
        <f t="shared" si="24"/>
        <v>39.43</v>
      </c>
    </row>
    <row r="317" spans="1:13" ht="12.75" hidden="1" x14ac:dyDescent="0.2">
      <c r="A317" s="56" t="s">
        <v>32</v>
      </c>
      <c r="B317" s="56" t="s">
        <v>33</v>
      </c>
      <c r="C317" s="57" t="s">
        <v>519</v>
      </c>
      <c r="D317" s="58">
        <v>3.03</v>
      </c>
      <c r="E317" s="58" t="s">
        <v>11</v>
      </c>
      <c r="F317" s="59" t="str">
        <f t="shared" si="20"/>
        <v>0011</v>
      </c>
      <c r="G317" s="60"/>
      <c r="H317" s="61">
        <v>0</v>
      </c>
      <c r="I317" s="61">
        <v>12</v>
      </c>
      <c r="J317" s="62">
        <f t="shared" si="21"/>
        <v>0</v>
      </c>
      <c r="K317" s="62">
        <f t="shared" si="22"/>
        <v>-12</v>
      </c>
      <c r="L317" s="62">
        <f t="shared" si="23"/>
        <v>-12</v>
      </c>
      <c r="M317" s="63">
        <f t="shared" si="24"/>
        <v>-36.36</v>
      </c>
    </row>
    <row r="318" spans="1:13" ht="12.75" hidden="1" x14ac:dyDescent="0.2">
      <c r="A318" s="65" t="s">
        <v>32</v>
      </c>
      <c r="B318" s="65" t="s">
        <v>33</v>
      </c>
      <c r="C318" s="66" t="s">
        <v>251</v>
      </c>
      <c r="D318" s="67">
        <v>3.03</v>
      </c>
      <c r="E318" s="67" t="s">
        <v>11</v>
      </c>
      <c r="F318" s="68" t="str">
        <f t="shared" si="20"/>
        <v>0011</v>
      </c>
      <c r="G318" s="69"/>
      <c r="H318" s="70">
        <v>12</v>
      </c>
      <c r="I318" s="70">
        <v>0</v>
      </c>
      <c r="J318" s="62">
        <f t="shared" si="21"/>
        <v>36.36</v>
      </c>
      <c r="K318" s="62">
        <f t="shared" si="22"/>
        <v>12</v>
      </c>
      <c r="L318" s="62">
        <f t="shared" si="23"/>
        <v>12</v>
      </c>
      <c r="M318" s="63">
        <f t="shared" si="24"/>
        <v>36.36</v>
      </c>
    </row>
    <row r="319" spans="1:13" ht="12.75" hidden="1" x14ac:dyDescent="0.2">
      <c r="A319" s="56" t="s">
        <v>28</v>
      </c>
      <c r="B319" s="56" t="s">
        <v>29</v>
      </c>
      <c r="C319" s="57" t="s">
        <v>102</v>
      </c>
      <c r="D319" s="58">
        <v>3.28</v>
      </c>
      <c r="E319" s="58" t="s">
        <v>11</v>
      </c>
      <c r="F319" s="59" t="str">
        <f t="shared" si="20"/>
        <v>0011</v>
      </c>
      <c r="G319" s="60"/>
      <c r="H319" s="61">
        <v>0</v>
      </c>
      <c r="I319" s="61">
        <v>11</v>
      </c>
      <c r="J319" s="62">
        <f t="shared" si="21"/>
        <v>0</v>
      </c>
      <c r="K319" s="62">
        <f t="shared" si="22"/>
        <v>-11</v>
      </c>
      <c r="L319" s="62">
        <f t="shared" si="23"/>
        <v>-11</v>
      </c>
      <c r="M319" s="63">
        <f t="shared" si="24"/>
        <v>-36.08</v>
      </c>
    </row>
    <row r="320" spans="1:13" ht="12.75" hidden="1" x14ac:dyDescent="0.2">
      <c r="A320" s="65" t="s">
        <v>28</v>
      </c>
      <c r="B320" s="65" t="s">
        <v>29</v>
      </c>
      <c r="C320" s="66" t="s">
        <v>559</v>
      </c>
      <c r="D320" s="67">
        <v>3.28</v>
      </c>
      <c r="E320" s="67" t="s">
        <v>11</v>
      </c>
      <c r="F320" s="68" t="str">
        <f t="shared" si="20"/>
        <v>0011</v>
      </c>
      <c r="G320" s="69"/>
      <c r="H320" s="70">
        <v>11</v>
      </c>
      <c r="I320" s="70">
        <v>0</v>
      </c>
      <c r="J320" s="62">
        <f t="shared" si="21"/>
        <v>36.08</v>
      </c>
      <c r="K320" s="62">
        <f t="shared" si="22"/>
        <v>11</v>
      </c>
      <c r="L320" s="62">
        <f t="shared" si="23"/>
        <v>11</v>
      </c>
      <c r="M320" s="63">
        <f t="shared" si="24"/>
        <v>36.08</v>
      </c>
    </row>
    <row r="321" spans="1:13" ht="12.75" hidden="1" x14ac:dyDescent="0.2">
      <c r="A321" s="56" t="s">
        <v>35</v>
      </c>
      <c r="B321" s="56" t="s">
        <v>36</v>
      </c>
      <c r="C321" s="57" t="s">
        <v>527</v>
      </c>
      <c r="D321" s="58">
        <v>2.97</v>
      </c>
      <c r="E321" s="58" t="s">
        <v>11</v>
      </c>
      <c r="F321" s="59" t="str">
        <f t="shared" si="20"/>
        <v>0011</v>
      </c>
      <c r="G321" s="60"/>
      <c r="H321" s="61">
        <v>15108</v>
      </c>
      <c r="I321" s="61">
        <v>15120</v>
      </c>
      <c r="J321" s="62">
        <f t="shared" si="21"/>
        <v>44870.76</v>
      </c>
      <c r="K321" s="62">
        <f t="shared" si="22"/>
        <v>-12</v>
      </c>
      <c r="L321" s="62">
        <f t="shared" si="23"/>
        <v>-12</v>
      </c>
      <c r="M321" s="63">
        <f t="shared" si="24"/>
        <v>-35.64</v>
      </c>
    </row>
    <row r="322" spans="1:13" ht="12.75" hidden="1" x14ac:dyDescent="0.2">
      <c r="A322" s="56" t="s">
        <v>51</v>
      </c>
      <c r="B322" s="56" t="s">
        <v>52</v>
      </c>
      <c r="C322" s="57" t="s">
        <v>54</v>
      </c>
      <c r="D322" s="58">
        <v>7.04</v>
      </c>
      <c r="E322" s="58" t="s">
        <v>11</v>
      </c>
      <c r="F322" s="59" t="str">
        <f t="shared" si="20"/>
        <v>0011</v>
      </c>
      <c r="G322" s="60"/>
      <c r="H322" s="61">
        <v>11</v>
      </c>
      <c r="I322" s="61">
        <v>6</v>
      </c>
      <c r="J322" s="62">
        <f t="shared" si="21"/>
        <v>77.44</v>
      </c>
      <c r="K322" s="62">
        <f t="shared" si="22"/>
        <v>5</v>
      </c>
      <c r="L322" s="62">
        <f t="shared" si="23"/>
        <v>5</v>
      </c>
      <c r="M322" s="63">
        <f t="shared" si="24"/>
        <v>35.200000000000003</v>
      </c>
    </row>
    <row r="323" spans="1:13" ht="12.75" hidden="1" x14ac:dyDescent="0.2">
      <c r="A323" s="56" t="s">
        <v>42</v>
      </c>
      <c r="B323" s="56" t="s">
        <v>43</v>
      </c>
      <c r="C323" s="57" t="s">
        <v>112</v>
      </c>
      <c r="D323" s="58">
        <v>2.97</v>
      </c>
      <c r="E323" s="58" t="s">
        <v>11</v>
      </c>
      <c r="F323" s="59" t="str">
        <f t="shared" si="20"/>
        <v>0011</v>
      </c>
      <c r="G323" s="60"/>
      <c r="H323" s="61">
        <v>0</v>
      </c>
      <c r="I323" s="61">
        <v>11</v>
      </c>
      <c r="J323" s="62">
        <f t="shared" si="21"/>
        <v>0</v>
      </c>
      <c r="K323" s="62">
        <f t="shared" si="22"/>
        <v>-11</v>
      </c>
      <c r="L323" s="62">
        <f t="shared" si="23"/>
        <v>-11</v>
      </c>
      <c r="M323" s="63">
        <f t="shared" si="24"/>
        <v>-32.67</v>
      </c>
    </row>
    <row r="324" spans="1:13" ht="12.75" hidden="1" x14ac:dyDescent="0.2">
      <c r="A324" s="56" t="s">
        <v>339</v>
      </c>
      <c r="B324" s="56" t="s">
        <v>340</v>
      </c>
      <c r="C324" s="57"/>
      <c r="D324" s="58">
        <v>0.1</v>
      </c>
      <c r="E324" s="58" t="s">
        <v>11</v>
      </c>
      <c r="F324" s="59" t="str">
        <f t="shared" si="20"/>
        <v>0011</v>
      </c>
      <c r="G324" s="60"/>
      <c r="H324" s="61">
        <v>29</v>
      </c>
      <c r="I324" s="61">
        <v>337</v>
      </c>
      <c r="J324" s="62">
        <f t="shared" si="21"/>
        <v>2.9000000000000004</v>
      </c>
      <c r="K324" s="62">
        <f t="shared" si="22"/>
        <v>-308</v>
      </c>
      <c r="L324" s="62">
        <f t="shared" si="23"/>
        <v>-308</v>
      </c>
      <c r="M324" s="63">
        <f t="shared" si="24"/>
        <v>-30.8</v>
      </c>
    </row>
    <row r="325" spans="1:13" ht="12.75" hidden="1" x14ac:dyDescent="0.2">
      <c r="A325" s="56" t="s">
        <v>21</v>
      </c>
      <c r="B325" s="56" t="s">
        <v>22</v>
      </c>
      <c r="C325" s="57"/>
      <c r="D325" s="58">
        <v>14.8</v>
      </c>
      <c r="E325" s="58" t="s">
        <v>11</v>
      </c>
      <c r="F325" s="59" t="str">
        <f t="shared" si="20"/>
        <v>0011</v>
      </c>
      <c r="G325" s="60"/>
      <c r="H325" s="61">
        <v>546</v>
      </c>
      <c r="I325" s="61">
        <v>548</v>
      </c>
      <c r="J325" s="62">
        <f t="shared" si="21"/>
        <v>8080.8</v>
      </c>
      <c r="K325" s="62">
        <f t="shared" si="22"/>
        <v>-2</v>
      </c>
      <c r="L325" s="62">
        <f t="shared" si="23"/>
        <v>-2</v>
      </c>
      <c r="M325" s="63">
        <f t="shared" si="24"/>
        <v>-29.6</v>
      </c>
    </row>
    <row r="326" spans="1:13" ht="12.75" hidden="1" x14ac:dyDescent="0.2">
      <c r="A326" s="56" t="s">
        <v>375</v>
      </c>
      <c r="B326" s="56" t="s">
        <v>376</v>
      </c>
      <c r="C326" s="57"/>
      <c r="D326" s="58">
        <v>1</v>
      </c>
      <c r="E326" s="58" t="s">
        <v>11</v>
      </c>
      <c r="F326" s="59" t="str">
        <f t="shared" si="20"/>
        <v>0011</v>
      </c>
      <c r="G326" s="60"/>
      <c r="H326" s="61">
        <v>0</v>
      </c>
      <c r="I326" s="61">
        <v>28</v>
      </c>
      <c r="J326" s="62">
        <f t="shared" si="21"/>
        <v>0</v>
      </c>
      <c r="K326" s="62">
        <f t="shared" si="22"/>
        <v>-28</v>
      </c>
      <c r="L326" s="62">
        <f t="shared" si="23"/>
        <v>-28</v>
      </c>
      <c r="M326" s="63">
        <f t="shared" si="24"/>
        <v>-28</v>
      </c>
    </row>
    <row r="327" spans="1:13" ht="12.75" hidden="1" x14ac:dyDescent="0.2">
      <c r="A327" s="56" t="s">
        <v>32</v>
      </c>
      <c r="B327" s="56" t="s">
        <v>33</v>
      </c>
      <c r="C327" s="57" t="s">
        <v>521</v>
      </c>
      <c r="D327" s="58">
        <v>3.03</v>
      </c>
      <c r="E327" s="58" t="s">
        <v>11</v>
      </c>
      <c r="F327" s="59" t="str">
        <f t="shared" si="20"/>
        <v>0011</v>
      </c>
      <c r="G327" s="60"/>
      <c r="H327" s="61">
        <v>11592</v>
      </c>
      <c r="I327" s="61">
        <v>11600</v>
      </c>
      <c r="J327" s="62">
        <f t="shared" si="21"/>
        <v>35123.759999999995</v>
      </c>
      <c r="K327" s="62">
        <f t="shared" si="22"/>
        <v>-8</v>
      </c>
      <c r="L327" s="62">
        <f t="shared" si="23"/>
        <v>-8</v>
      </c>
      <c r="M327" s="63">
        <f t="shared" si="24"/>
        <v>-24.24</v>
      </c>
    </row>
    <row r="328" spans="1:13" ht="12.75" hidden="1" x14ac:dyDescent="0.2">
      <c r="A328" s="56" t="s">
        <v>47</v>
      </c>
      <c r="B328" s="56" t="s">
        <v>48</v>
      </c>
      <c r="C328" s="57" t="s">
        <v>547</v>
      </c>
      <c r="D328" s="58">
        <v>21.87</v>
      </c>
      <c r="E328" s="58" t="s">
        <v>11</v>
      </c>
      <c r="F328" s="59" t="str">
        <f t="shared" ref="F328:F391" si="25">+$M$3</f>
        <v>0011</v>
      </c>
      <c r="G328" s="60"/>
      <c r="H328" s="61">
        <v>0</v>
      </c>
      <c r="I328" s="61">
        <v>1</v>
      </c>
      <c r="J328" s="62">
        <f t="shared" ref="J328:J391" si="26">D328*H328</f>
        <v>0</v>
      </c>
      <c r="K328" s="62">
        <f t="shared" ref="K328:K391" si="27">H328-I328</f>
        <v>-1</v>
      </c>
      <c r="L328" s="62">
        <f t="shared" ref="L328:L391" si="28">H328-I328</f>
        <v>-1</v>
      </c>
      <c r="M328" s="63">
        <f t="shared" ref="M328:M391" si="29">L328*D328</f>
        <v>-21.87</v>
      </c>
    </row>
    <row r="329" spans="1:13" ht="12.75" hidden="1" x14ac:dyDescent="0.2">
      <c r="A329" s="65" t="s">
        <v>47</v>
      </c>
      <c r="B329" s="65" t="s">
        <v>48</v>
      </c>
      <c r="C329" s="66" t="s">
        <v>615</v>
      </c>
      <c r="D329" s="67">
        <v>21.87</v>
      </c>
      <c r="E329" s="67" t="s">
        <v>11</v>
      </c>
      <c r="F329" s="68" t="str">
        <f t="shared" si="25"/>
        <v>0011</v>
      </c>
      <c r="G329" s="69"/>
      <c r="H329" s="70">
        <v>1</v>
      </c>
      <c r="I329" s="70">
        <v>0</v>
      </c>
      <c r="J329" s="62">
        <f t="shared" si="26"/>
        <v>21.87</v>
      </c>
      <c r="K329" s="62">
        <f t="shared" si="27"/>
        <v>1</v>
      </c>
      <c r="L329" s="62">
        <f t="shared" si="28"/>
        <v>1</v>
      </c>
      <c r="M329" s="63">
        <f t="shared" si="29"/>
        <v>21.87</v>
      </c>
    </row>
    <row r="330" spans="1:13" ht="12.75" hidden="1" x14ac:dyDescent="0.2">
      <c r="A330" s="56" t="s">
        <v>49</v>
      </c>
      <c r="B330" s="56" t="s">
        <v>50</v>
      </c>
      <c r="C330" s="57" t="s">
        <v>114</v>
      </c>
      <c r="D330" s="58">
        <v>21.81</v>
      </c>
      <c r="E330" s="58" t="s">
        <v>11</v>
      </c>
      <c r="F330" s="59" t="str">
        <f t="shared" si="25"/>
        <v>0011</v>
      </c>
      <c r="G330" s="60"/>
      <c r="H330" s="61">
        <v>2</v>
      </c>
      <c r="I330" s="61">
        <v>1</v>
      </c>
      <c r="J330" s="62">
        <f t="shared" si="26"/>
        <v>43.62</v>
      </c>
      <c r="K330" s="62">
        <f t="shared" si="27"/>
        <v>1</v>
      </c>
      <c r="L330" s="62">
        <f t="shared" si="28"/>
        <v>1</v>
      </c>
      <c r="M330" s="63">
        <f t="shared" si="29"/>
        <v>21.81</v>
      </c>
    </row>
    <row r="331" spans="1:13" ht="12.75" hidden="1" x14ac:dyDescent="0.2">
      <c r="A331" s="65" t="s">
        <v>49</v>
      </c>
      <c r="B331" s="65" t="s">
        <v>50</v>
      </c>
      <c r="C331" s="66" t="s">
        <v>654</v>
      </c>
      <c r="D331" s="67">
        <v>21.81</v>
      </c>
      <c r="E331" s="67" t="s">
        <v>11</v>
      </c>
      <c r="F331" s="68" t="str">
        <f t="shared" si="25"/>
        <v>0011</v>
      </c>
      <c r="G331" s="69"/>
      <c r="H331" s="70">
        <v>1</v>
      </c>
      <c r="I331" s="70">
        <v>0</v>
      </c>
      <c r="J331" s="62">
        <f t="shared" si="26"/>
        <v>21.81</v>
      </c>
      <c r="K331" s="62">
        <f t="shared" si="27"/>
        <v>1</v>
      </c>
      <c r="L331" s="62">
        <f t="shared" si="28"/>
        <v>1</v>
      </c>
      <c r="M331" s="63">
        <f t="shared" si="29"/>
        <v>21.81</v>
      </c>
    </row>
    <row r="332" spans="1:13" ht="12.75" hidden="1" x14ac:dyDescent="0.2">
      <c r="A332" s="56" t="s">
        <v>415</v>
      </c>
      <c r="B332" s="56" t="s">
        <v>416</v>
      </c>
      <c r="C332" s="57" t="s">
        <v>417</v>
      </c>
      <c r="D332" s="58">
        <v>20.39</v>
      </c>
      <c r="E332" s="58" t="s">
        <v>11</v>
      </c>
      <c r="F332" s="59" t="str">
        <f t="shared" si="25"/>
        <v>0011</v>
      </c>
      <c r="G332" s="60"/>
      <c r="H332" s="61">
        <v>106</v>
      </c>
      <c r="I332" s="61">
        <v>105</v>
      </c>
      <c r="J332" s="62">
        <f t="shared" si="26"/>
        <v>2161.34</v>
      </c>
      <c r="K332" s="62">
        <f t="shared" si="27"/>
        <v>1</v>
      </c>
      <c r="L332" s="62">
        <f t="shared" si="28"/>
        <v>1</v>
      </c>
      <c r="M332" s="63">
        <f t="shared" si="29"/>
        <v>20.39</v>
      </c>
    </row>
    <row r="333" spans="1:13" ht="12.75" hidden="1" x14ac:dyDescent="0.2">
      <c r="A333" s="56" t="s">
        <v>422</v>
      </c>
      <c r="B333" s="56" t="s">
        <v>423</v>
      </c>
      <c r="C333" s="57" t="s">
        <v>424</v>
      </c>
      <c r="D333" s="58">
        <v>9.99</v>
      </c>
      <c r="E333" s="58" t="s">
        <v>11</v>
      </c>
      <c r="F333" s="59" t="str">
        <f t="shared" si="25"/>
        <v>0011</v>
      </c>
      <c r="G333" s="60"/>
      <c r="H333" s="61">
        <v>726</v>
      </c>
      <c r="I333" s="61">
        <v>728</v>
      </c>
      <c r="J333" s="62">
        <f t="shared" si="26"/>
        <v>7252.74</v>
      </c>
      <c r="K333" s="62">
        <f t="shared" si="27"/>
        <v>-2</v>
      </c>
      <c r="L333" s="62">
        <f t="shared" si="28"/>
        <v>-2</v>
      </c>
      <c r="M333" s="63">
        <f t="shared" si="29"/>
        <v>-19.98</v>
      </c>
    </row>
    <row r="334" spans="1:13" ht="12.75" hidden="1" x14ac:dyDescent="0.2">
      <c r="A334" s="56" t="s">
        <v>115</v>
      </c>
      <c r="B334" s="56" t="s">
        <v>116</v>
      </c>
      <c r="C334" s="57" t="s">
        <v>558</v>
      </c>
      <c r="D334" s="58">
        <v>3.62</v>
      </c>
      <c r="E334" s="58" t="s">
        <v>11</v>
      </c>
      <c r="F334" s="59" t="str">
        <f t="shared" si="25"/>
        <v>0011</v>
      </c>
      <c r="G334" s="60"/>
      <c r="H334" s="61">
        <v>2</v>
      </c>
      <c r="I334" s="61">
        <v>7</v>
      </c>
      <c r="J334" s="62">
        <f t="shared" si="26"/>
        <v>7.24</v>
      </c>
      <c r="K334" s="62">
        <f t="shared" si="27"/>
        <v>-5</v>
      </c>
      <c r="L334" s="62">
        <f t="shared" si="28"/>
        <v>-5</v>
      </c>
      <c r="M334" s="63">
        <f t="shared" si="29"/>
        <v>-18.100000000000001</v>
      </c>
    </row>
    <row r="335" spans="1:13" ht="12.75" hidden="1" x14ac:dyDescent="0.2">
      <c r="A335" s="56" t="s">
        <v>115</v>
      </c>
      <c r="B335" s="56" t="s">
        <v>116</v>
      </c>
      <c r="C335" s="57" t="s">
        <v>259</v>
      </c>
      <c r="D335" s="58">
        <v>3.62</v>
      </c>
      <c r="E335" s="58" t="s">
        <v>11</v>
      </c>
      <c r="F335" s="59" t="str">
        <f t="shared" si="25"/>
        <v>0011</v>
      </c>
      <c r="G335" s="60"/>
      <c r="H335" s="61">
        <v>9432</v>
      </c>
      <c r="I335" s="61">
        <v>9437</v>
      </c>
      <c r="J335" s="62">
        <f t="shared" si="26"/>
        <v>34143.840000000004</v>
      </c>
      <c r="K335" s="62">
        <f t="shared" si="27"/>
        <v>-5</v>
      </c>
      <c r="L335" s="62">
        <f t="shared" si="28"/>
        <v>-5</v>
      </c>
      <c r="M335" s="63">
        <f t="shared" si="29"/>
        <v>-18.100000000000001</v>
      </c>
    </row>
    <row r="336" spans="1:13" ht="12.75" hidden="1" x14ac:dyDescent="0.2">
      <c r="A336" s="65" t="s">
        <v>25</v>
      </c>
      <c r="B336" s="65" t="s">
        <v>26</v>
      </c>
      <c r="C336" s="66" t="s">
        <v>100</v>
      </c>
      <c r="D336" s="67">
        <v>6.78</v>
      </c>
      <c r="E336" s="67" t="s">
        <v>11</v>
      </c>
      <c r="F336" s="68" t="str">
        <f t="shared" si="25"/>
        <v>0011</v>
      </c>
      <c r="G336" s="69"/>
      <c r="H336" s="70">
        <v>2</v>
      </c>
      <c r="I336" s="70">
        <v>0</v>
      </c>
      <c r="J336" s="62">
        <f t="shared" si="26"/>
        <v>13.56</v>
      </c>
      <c r="K336" s="62">
        <f t="shared" si="27"/>
        <v>2</v>
      </c>
      <c r="L336" s="62">
        <f t="shared" si="28"/>
        <v>2</v>
      </c>
      <c r="M336" s="63">
        <f t="shared" si="29"/>
        <v>13.56</v>
      </c>
    </row>
    <row r="337" spans="1:13" ht="12.75" hidden="1" x14ac:dyDescent="0.2">
      <c r="A337" s="56" t="s">
        <v>28</v>
      </c>
      <c r="B337" s="56" t="s">
        <v>29</v>
      </c>
      <c r="C337" s="57" t="s">
        <v>512</v>
      </c>
      <c r="D337" s="58">
        <v>3.28</v>
      </c>
      <c r="E337" s="58" t="s">
        <v>11</v>
      </c>
      <c r="F337" s="59" t="str">
        <f t="shared" si="25"/>
        <v>0011</v>
      </c>
      <c r="G337" s="60"/>
      <c r="H337" s="61">
        <v>0</v>
      </c>
      <c r="I337" s="61">
        <v>4</v>
      </c>
      <c r="J337" s="62">
        <f t="shared" si="26"/>
        <v>0</v>
      </c>
      <c r="K337" s="62">
        <f t="shared" si="27"/>
        <v>-4</v>
      </c>
      <c r="L337" s="62">
        <f t="shared" si="28"/>
        <v>-4</v>
      </c>
      <c r="M337" s="63">
        <f t="shared" si="29"/>
        <v>-13.12</v>
      </c>
    </row>
    <row r="338" spans="1:13" ht="12.75" hidden="1" x14ac:dyDescent="0.2">
      <c r="A338" s="65" t="s">
        <v>270</v>
      </c>
      <c r="B338" s="65" t="s">
        <v>271</v>
      </c>
      <c r="C338" s="66" t="s">
        <v>649</v>
      </c>
      <c r="D338" s="67">
        <v>12.34</v>
      </c>
      <c r="E338" s="67" t="s">
        <v>11</v>
      </c>
      <c r="F338" s="68" t="str">
        <f t="shared" si="25"/>
        <v>0011</v>
      </c>
      <c r="G338" s="69"/>
      <c r="H338" s="70">
        <v>1</v>
      </c>
      <c r="I338" s="70">
        <v>0</v>
      </c>
      <c r="J338" s="62">
        <f t="shared" si="26"/>
        <v>12.34</v>
      </c>
      <c r="K338" s="62">
        <f t="shared" si="27"/>
        <v>1</v>
      </c>
      <c r="L338" s="62">
        <f t="shared" si="28"/>
        <v>1</v>
      </c>
      <c r="M338" s="63">
        <f t="shared" si="29"/>
        <v>12.34</v>
      </c>
    </row>
    <row r="339" spans="1:13" ht="12.75" hidden="1" x14ac:dyDescent="0.2">
      <c r="A339" s="56" t="s">
        <v>381</v>
      </c>
      <c r="B339" s="56" t="s">
        <v>382</v>
      </c>
      <c r="C339" s="57"/>
      <c r="D339" s="58">
        <v>1</v>
      </c>
      <c r="E339" s="58" t="s">
        <v>11</v>
      </c>
      <c r="F339" s="59" t="str">
        <f t="shared" si="25"/>
        <v>0011</v>
      </c>
      <c r="G339" s="60"/>
      <c r="H339" s="61">
        <v>0</v>
      </c>
      <c r="I339" s="61">
        <v>12</v>
      </c>
      <c r="J339" s="62">
        <f t="shared" si="26"/>
        <v>0</v>
      </c>
      <c r="K339" s="62">
        <f t="shared" si="27"/>
        <v>-12</v>
      </c>
      <c r="L339" s="62">
        <f t="shared" si="28"/>
        <v>-12</v>
      </c>
      <c r="M339" s="63">
        <f t="shared" si="29"/>
        <v>-12</v>
      </c>
    </row>
    <row r="340" spans="1:13" ht="12.75" hidden="1" x14ac:dyDescent="0.2">
      <c r="A340" s="56" t="s">
        <v>17</v>
      </c>
      <c r="B340" s="56" t="s">
        <v>18</v>
      </c>
      <c r="C340" s="57" t="s">
        <v>418</v>
      </c>
      <c r="D340" s="58">
        <v>9.84</v>
      </c>
      <c r="E340" s="58" t="s">
        <v>11</v>
      </c>
      <c r="F340" s="59" t="str">
        <f t="shared" si="25"/>
        <v>0011</v>
      </c>
      <c r="G340" s="60"/>
      <c r="H340" s="61">
        <v>2</v>
      </c>
      <c r="I340" s="61">
        <v>1</v>
      </c>
      <c r="J340" s="62">
        <f t="shared" si="26"/>
        <v>19.68</v>
      </c>
      <c r="K340" s="62">
        <f t="shared" si="27"/>
        <v>1</v>
      </c>
      <c r="L340" s="62">
        <f t="shared" si="28"/>
        <v>1</v>
      </c>
      <c r="M340" s="63">
        <f t="shared" si="29"/>
        <v>9.84</v>
      </c>
    </row>
    <row r="341" spans="1:13" ht="12.75" hidden="1" x14ac:dyDescent="0.2">
      <c r="A341" s="65" t="s">
        <v>40</v>
      </c>
      <c r="B341" s="65" t="s">
        <v>41</v>
      </c>
      <c r="C341" s="66" t="s">
        <v>651</v>
      </c>
      <c r="D341" s="67">
        <v>2.91</v>
      </c>
      <c r="E341" s="67" t="s">
        <v>11</v>
      </c>
      <c r="F341" s="68" t="str">
        <f t="shared" si="25"/>
        <v>0011</v>
      </c>
      <c r="G341" s="69"/>
      <c r="H341" s="70">
        <v>3</v>
      </c>
      <c r="I341" s="70">
        <v>0</v>
      </c>
      <c r="J341" s="62">
        <f t="shared" si="26"/>
        <v>8.73</v>
      </c>
      <c r="K341" s="62">
        <f t="shared" si="27"/>
        <v>3</v>
      </c>
      <c r="L341" s="62">
        <f t="shared" si="28"/>
        <v>3</v>
      </c>
      <c r="M341" s="63">
        <f t="shared" si="29"/>
        <v>8.73</v>
      </c>
    </row>
    <row r="342" spans="1:13" ht="12.75" hidden="1" x14ac:dyDescent="0.2">
      <c r="A342" s="65" t="s">
        <v>28</v>
      </c>
      <c r="B342" s="65" t="s">
        <v>29</v>
      </c>
      <c r="C342" s="66" t="s">
        <v>250</v>
      </c>
      <c r="D342" s="67">
        <v>3.28</v>
      </c>
      <c r="E342" s="67" t="s">
        <v>11</v>
      </c>
      <c r="F342" s="68" t="str">
        <f t="shared" si="25"/>
        <v>0011</v>
      </c>
      <c r="G342" s="69"/>
      <c r="H342" s="70">
        <v>2</v>
      </c>
      <c r="I342" s="70">
        <v>0</v>
      </c>
      <c r="J342" s="62">
        <f t="shared" si="26"/>
        <v>6.56</v>
      </c>
      <c r="K342" s="62">
        <f t="shared" si="27"/>
        <v>2</v>
      </c>
      <c r="L342" s="62">
        <f t="shared" si="28"/>
        <v>2</v>
      </c>
      <c r="M342" s="63">
        <f t="shared" si="29"/>
        <v>6.56</v>
      </c>
    </row>
    <row r="343" spans="1:13" ht="12.75" hidden="1" x14ac:dyDescent="0.2">
      <c r="A343" s="65" t="s">
        <v>260</v>
      </c>
      <c r="B343" s="65" t="s">
        <v>261</v>
      </c>
      <c r="C343" s="66" t="s">
        <v>262</v>
      </c>
      <c r="D343" s="67">
        <v>3.1</v>
      </c>
      <c r="E343" s="67" t="s">
        <v>11</v>
      </c>
      <c r="F343" s="68" t="str">
        <f t="shared" si="25"/>
        <v>0011</v>
      </c>
      <c r="G343" s="69"/>
      <c r="H343" s="70">
        <v>2</v>
      </c>
      <c r="I343" s="70">
        <v>0</v>
      </c>
      <c r="J343" s="62">
        <f t="shared" si="26"/>
        <v>6.2</v>
      </c>
      <c r="K343" s="62">
        <f t="shared" si="27"/>
        <v>2</v>
      </c>
      <c r="L343" s="62">
        <f t="shared" si="28"/>
        <v>2</v>
      </c>
      <c r="M343" s="63">
        <f t="shared" si="29"/>
        <v>6.2</v>
      </c>
    </row>
    <row r="344" spans="1:13" ht="12.75" hidden="1" x14ac:dyDescent="0.2">
      <c r="A344" s="56" t="s">
        <v>296</v>
      </c>
      <c r="B344" s="56" t="s">
        <v>297</v>
      </c>
      <c r="C344" s="57"/>
      <c r="D344" s="58">
        <v>1.51</v>
      </c>
      <c r="E344" s="58" t="s">
        <v>11</v>
      </c>
      <c r="F344" s="59" t="str">
        <f t="shared" si="25"/>
        <v>0011</v>
      </c>
      <c r="G344" s="60"/>
      <c r="H344" s="61">
        <v>134</v>
      </c>
      <c r="I344" s="61">
        <v>138</v>
      </c>
      <c r="J344" s="62">
        <f t="shared" si="26"/>
        <v>202.34</v>
      </c>
      <c r="K344" s="62">
        <f t="shared" si="27"/>
        <v>-4</v>
      </c>
      <c r="L344" s="62">
        <f t="shared" si="28"/>
        <v>-4</v>
      </c>
      <c r="M344" s="63">
        <f t="shared" si="29"/>
        <v>-6.04</v>
      </c>
    </row>
    <row r="345" spans="1:13" ht="12.75" hidden="1" x14ac:dyDescent="0.2">
      <c r="A345" s="65" t="s">
        <v>595</v>
      </c>
      <c r="B345" s="65" t="s">
        <v>596</v>
      </c>
      <c r="C345" s="66" t="s">
        <v>632</v>
      </c>
      <c r="D345" s="67">
        <v>5.35</v>
      </c>
      <c r="E345" s="67" t="s">
        <v>11</v>
      </c>
      <c r="F345" s="68" t="str">
        <f t="shared" si="25"/>
        <v>0011</v>
      </c>
      <c r="G345" s="69"/>
      <c r="H345" s="70">
        <v>1</v>
      </c>
      <c r="I345" s="70">
        <v>0</v>
      </c>
      <c r="J345" s="62">
        <f t="shared" si="26"/>
        <v>5.35</v>
      </c>
      <c r="K345" s="62">
        <f t="shared" si="27"/>
        <v>1</v>
      </c>
      <c r="L345" s="62">
        <f t="shared" si="28"/>
        <v>1</v>
      </c>
      <c r="M345" s="63">
        <f t="shared" si="29"/>
        <v>5.35</v>
      </c>
    </row>
    <row r="346" spans="1:13" ht="12.75" hidden="1" x14ac:dyDescent="0.2">
      <c r="A346" s="56" t="s">
        <v>287</v>
      </c>
      <c r="B346" s="56" t="s">
        <v>288</v>
      </c>
      <c r="C346" s="57" t="s">
        <v>590</v>
      </c>
      <c r="D346" s="58">
        <v>4.0599999999999996</v>
      </c>
      <c r="E346" s="58" t="s">
        <v>11</v>
      </c>
      <c r="F346" s="59" t="str">
        <f t="shared" si="25"/>
        <v>0011</v>
      </c>
      <c r="G346" s="60"/>
      <c r="H346" s="61">
        <v>6</v>
      </c>
      <c r="I346" s="61">
        <v>7</v>
      </c>
      <c r="J346" s="62">
        <f t="shared" si="26"/>
        <v>24.36</v>
      </c>
      <c r="K346" s="62">
        <f t="shared" si="27"/>
        <v>-1</v>
      </c>
      <c r="L346" s="62">
        <f t="shared" si="28"/>
        <v>-1</v>
      </c>
      <c r="M346" s="63">
        <f t="shared" si="29"/>
        <v>-4.0599999999999996</v>
      </c>
    </row>
    <row r="347" spans="1:13" ht="12.75" hidden="1" x14ac:dyDescent="0.2">
      <c r="A347" s="65" t="s">
        <v>55</v>
      </c>
      <c r="B347" s="65" t="s">
        <v>56</v>
      </c>
      <c r="C347" s="66" t="s">
        <v>128</v>
      </c>
      <c r="D347" s="67">
        <v>3.32</v>
      </c>
      <c r="E347" s="67" t="s">
        <v>11</v>
      </c>
      <c r="F347" s="68" t="str">
        <f t="shared" si="25"/>
        <v>0011</v>
      </c>
      <c r="G347" s="69"/>
      <c r="H347" s="70">
        <v>1</v>
      </c>
      <c r="I347" s="70">
        <v>0</v>
      </c>
      <c r="J347" s="62">
        <f t="shared" si="26"/>
        <v>3.32</v>
      </c>
      <c r="K347" s="62">
        <f t="shared" si="27"/>
        <v>1</v>
      </c>
      <c r="L347" s="62">
        <f t="shared" si="28"/>
        <v>1</v>
      </c>
      <c r="M347" s="63">
        <f t="shared" si="29"/>
        <v>3.32</v>
      </c>
    </row>
    <row r="348" spans="1:13" ht="12.75" hidden="1" x14ac:dyDescent="0.2">
      <c r="A348" s="56" t="s">
        <v>32</v>
      </c>
      <c r="B348" s="56" t="s">
        <v>33</v>
      </c>
      <c r="C348" s="57" t="s">
        <v>518</v>
      </c>
      <c r="D348" s="58">
        <v>3.03</v>
      </c>
      <c r="E348" s="58" t="s">
        <v>11</v>
      </c>
      <c r="F348" s="59" t="str">
        <f t="shared" si="25"/>
        <v>0011</v>
      </c>
      <c r="G348" s="60"/>
      <c r="H348" s="61">
        <v>1</v>
      </c>
      <c r="I348" s="61">
        <v>2</v>
      </c>
      <c r="J348" s="62">
        <f t="shared" si="26"/>
        <v>3.03</v>
      </c>
      <c r="K348" s="62">
        <f t="shared" si="27"/>
        <v>-1</v>
      </c>
      <c r="L348" s="62">
        <f t="shared" si="28"/>
        <v>-1</v>
      </c>
      <c r="M348" s="63">
        <f t="shared" si="29"/>
        <v>-3.03</v>
      </c>
    </row>
    <row r="349" spans="1:13" ht="12.75" hidden="1" x14ac:dyDescent="0.2">
      <c r="A349" s="56" t="s">
        <v>35</v>
      </c>
      <c r="B349" s="56" t="s">
        <v>36</v>
      </c>
      <c r="C349" s="57" t="s">
        <v>252</v>
      </c>
      <c r="D349" s="58">
        <v>2.97</v>
      </c>
      <c r="E349" s="58" t="s">
        <v>11</v>
      </c>
      <c r="F349" s="59" t="str">
        <f t="shared" si="25"/>
        <v>0011</v>
      </c>
      <c r="G349" s="60"/>
      <c r="H349" s="61">
        <v>7</v>
      </c>
      <c r="I349" s="61">
        <v>8</v>
      </c>
      <c r="J349" s="62">
        <f t="shared" si="26"/>
        <v>20.790000000000003</v>
      </c>
      <c r="K349" s="62">
        <f t="shared" si="27"/>
        <v>-1</v>
      </c>
      <c r="L349" s="62">
        <f t="shared" si="28"/>
        <v>-1</v>
      </c>
      <c r="M349" s="63">
        <f t="shared" si="29"/>
        <v>-2.97</v>
      </c>
    </row>
    <row r="350" spans="1:13" ht="12.75" hidden="1" x14ac:dyDescent="0.2">
      <c r="A350" s="65" t="s">
        <v>42</v>
      </c>
      <c r="B350" s="65" t="s">
        <v>43</v>
      </c>
      <c r="C350" s="66" t="s">
        <v>255</v>
      </c>
      <c r="D350" s="67">
        <v>2.97</v>
      </c>
      <c r="E350" s="67" t="s">
        <v>11</v>
      </c>
      <c r="F350" s="68" t="str">
        <f t="shared" si="25"/>
        <v>0011</v>
      </c>
      <c r="G350" s="69"/>
      <c r="H350" s="70">
        <v>1</v>
      </c>
      <c r="I350" s="70">
        <v>0</v>
      </c>
      <c r="J350" s="62">
        <f t="shared" si="26"/>
        <v>2.97</v>
      </c>
      <c r="K350" s="62">
        <f t="shared" si="27"/>
        <v>1</v>
      </c>
      <c r="L350" s="62">
        <f t="shared" si="28"/>
        <v>1</v>
      </c>
      <c r="M350" s="63">
        <f t="shared" si="29"/>
        <v>2.97</v>
      </c>
    </row>
    <row r="351" spans="1:13" ht="12.75" hidden="1" x14ac:dyDescent="0.2">
      <c r="A351" s="56" t="s">
        <v>389</v>
      </c>
      <c r="B351" s="56" t="s">
        <v>390</v>
      </c>
      <c r="C351" s="57"/>
      <c r="D351" s="58">
        <v>1</v>
      </c>
      <c r="E351" s="58" t="s">
        <v>11</v>
      </c>
      <c r="F351" s="59" t="str">
        <f t="shared" si="25"/>
        <v>0011</v>
      </c>
      <c r="G351" s="60"/>
      <c r="H351" s="61">
        <v>0</v>
      </c>
      <c r="I351" s="61">
        <v>2</v>
      </c>
      <c r="J351" s="62">
        <f t="shared" si="26"/>
        <v>0</v>
      </c>
      <c r="K351" s="62">
        <f t="shared" si="27"/>
        <v>-2</v>
      </c>
      <c r="L351" s="62">
        <f t="shared" si="28"/>
        <v>-2</v>
      </c>
      <c r="M351" s="63">
        <f t="shared" si="29"/>
        <v>-2</v>
      </c>
    </row>
    <row r="352" spans="1:13" ht="12.75" hidden="1" x14ac:dyDescent="0.2">
      <c r="A352" s="56" t="s">
        <v>294</v>
      </c>
      <c r="B352" s="56" t="s">
        <v>295</v>
      </c>
      <c r="C352" s="57"/>
      <c r="D352" s="58">
        <v>69.099999999999994</v>
      </c>
      <c r="E352" s="58" t="s">
        <v>293</v>
      </c>
      <c r="F352" s="59" t="str">
        <f t="shared" si="25"/>
        <v>0011</v>
      </c>
      <c r="G352" s="60"/>
      <c r="H352" s="61">
        <v>25</v>
      </c>
      <c r="I352" s="61">
        <v>25</v>
      </c>
      <c r="J352" s="62">
        <f t="shared" si="26"/>
        <v>1727.4999999999998</v>
      </c>
      <c r="K352" s="62">
        <f t="shared" si="27"/>
        <v>0</v>
      </c>
      <c r="L352" s="62">
        <f t="shared" si="28"/>
        <v>0</v>
      </c>
      <c r="M352" s="63">
        <f t="shared" si="29"/>
        <v>0</v>
      </c>
    </row>
    <row r="353" spans="1:13" ht="12.75" hidden="1" x14ac:dyDescent="0.2">
      <c r="A353" s="56" t="s">
        <v>146</v>
      </c>
      <c r="B353" s="56" t="s">
        <v>147</v>
      </c>
      <c r="C353" s="57"/>
      <c r="D353" s="58">
        <v>68.209999999999994</v>
      </c>
      <c r="E353" s="58" t="s">
        <v>11</v>
      </c>
      <c r="F353" s="59" t="str">
        <f t="shared" si="25"/>
        <v>0011</v>
      </c>
      <c r="G353" s="60"/>
      <c r="H353" s="61">
        <v>2</v>
      </c>
      <c r="I353" s="61">
        <v>2</v>
      </c>
      <c r="J353" s="62">
        <f t="shared" si="26"/>
        <v>136.41999999999999</v>
      </c>
      <c r="K353" s="62">
        <f t="shared" si="27"/>
        <v>0</v>
      </c>
      <c r="L353" s="62">
        <f t="shared" si="28"/>
        <v>0</v>
      </c>
      <c r="M353" s="63">
        <f t="shared" si="29"/>
        <v>0</v>
      </c>
    </row>
    <row r="354" spans="1:13" ht="12.75" hidden="1" x14ac:dyDescent="0.2">
      <c r="A354" s="56" t="s">
        <v>298</v>
      </c>
      <c r="B354" s="56" t="s">
        <v>299</v>
      </c>
      <c r="C354" s="57"/>
      <c r="D354" s="58">
        <v>54.53</v>
      </c>
      <c r="E354" s="58" t="s">
        <v>11</v>
      </c>
      <c r="F354" s="59" t="str">
        <f t="shared" si="25"/>
        <v>0011</v>
      </c>
      <c r="G354" s="60"/>
      <c r="H354" s="61">
        <v>6</v>
      </c>
      <c r="I354" s="61">
        <v>6</v>
      </c>
      <c r="J354" s="62">
        <f t="shared" si="26"/>
        <v>327.18</v>
      </c>
      <c r="K354" s="62">
        <f t="shared" si="27"/>
        <v>0</v>
      </c>
      <c r="L354" s="62">
        <f t="shared" si="28"/>
        <v>0</v>
      </c>
      <c r="M354" s="63">
        <f t="shared" si="29"/>
        <v>0</v>
      </c>
    </row>
    <row r="355" spans="1:13" ht="12.75" hidden="1" x14ac:dyDescent="0.2">
      <c r="A355" s="56" t="s">
        <v>302</v>
      </c>
      <c r="B355" s="56" t="s">
        <v>303</v>
      </c>
      <c r="C355" s="57"/>
      <c r="D355" s="58">
        <v>1</v>
      </c>
      <c r="E355" s="58" t="s">
        <v>11</v>
      </c>
      <c r="F355" s="59" t="str">
        <f t="shared" si="25"/>
        <v>0011</v>
      </c>
      <c r="G355" s="60"/>
      <c r="H355" s="61">
        <v>243</v>
      </c>
      <c r="I355" s="61">
        <v>243</v>
      </c>
      <c r="J355" s="62">
        <f t="shared" si="26"/>
        <v>243</v>
      </c>
      <c r="K355" s="62">
        <f t="shared" si="27"/>
        <v>0</v>
      </c>
      <c r="L355" s="62">
        <f t="shared" si="28"/>
        <v>0</v>
      </c>
      <c r="M355" s="63">
        <f t="shared" si="29"/>
        <v>0</v>
      </c>
    </row>
    <row r="356" spans="1:13" ht="12.75" hidden="1" x14ac:dyDescent="0.2">
      <c r="A356" s="56" t="s">
        <v>316</v>
      </c>
      <c r="B356" s="56" t="s">
        <v>317</v>
      </c>
      <c r="C356" s="57"/>
      <c r="D356" s="58">
        <v>249.97</v>
      </c>
      <c r="E356" s="58" t="s">
        <v>11</v>
      </c>
      <c r="F356" s="59" t="str">
        <f t="shared" si="25"/>
        <v>0011</v>
      </c>
      <c r="G356" s="60"/>
      <c r="H356" s="61">
        <v>8</v>
      </c>
      <c r="I356" s="61">
        <v>8</v>
      </c>
      <c r="J356" s="62">
        <f t="shared" si="26"/>
        <v>1999.76</v>
      </c>
      <c r="K356" s="62">
        <f t="shared" si="27"/>
        <v>0</v>
      </c>
      <c r="L356" s="62">
        <f t="shared" si="28"/>
        <v>0</v>
      </c>
      <c r="M356" s="63">
        <f t="shared" si="29"/>
        <v>0</v>
      </c>
    </row>
    <row r="357" spans="1:13" ht="12.75" hidden="1" x14ac:dyDescent="0.2">
      <c r="A357" s="56" t="s">
        <v>320</v>
      </c>
      <c r="B357" s="56" t="s">
        <v>321</v>
      </c>
      <c r="C357" s="57"/>
      <c r="D357" s="58">
        <v>50</v>
      </c>
      <c r="E357" s="58" t="s">
        <v>11</v>
      </c>
      <c r="F357" s="59" t="str">
        <f t="shared" si="25"/>
        <v>0011</v>
      </c>
      <c r="G357" s="60"/>
      <c r="H357" s="61">
        <v>5</v>
      </c>
      <c r="I357" s="61">
        <v>5</v>
      </c>
      <c r="J357" s="62">
        <f t="shared" si="26"/>
        <v>250</v>
      </c>
      <c r="K357" s="62">
        <f t="shared" si="27"/>
        <v>0</v>
      </c>
      <c r="L357" s="62">
        <f t="shared" si="28"/>
        <v>0</v>
      </c>
      <c r="M357" s="63">
        <f t="shared" si="29"/>
        <v>0</v>
      </c>
    </row>
    <row r="358" spans="1:13" ht="12.75" hidden="1" x14ac:dyDescent="0.2">
      <c r="A358" s="56" t="s">
        <v>335</v>
      </c>
      <c r="B358" s="56" t="s">
        <v>336</v>
      </c>
      <c r="C358" s="57"/>
      <c r="D358" s="58">
        <v>2230.13</v>
      </c>
      <c r="E358" s="58" t="s">
        <v>11</v>
      </c>
      <c r="F358" s="59" t="str">
        <f t="shared" si="25"/>
        <v>0011</v>
      </c>
      <c r="G358" s="60"/>
      <c r="H358" s="61">
        <v>1</v>
      </c>
      <c r="I358" s="61">
        <v>1</v>
      </c>
      <c r="J358" s="62">
        <f t="shared" si="26"/>
        <v>2230.13</v>
      </c>
      <c r="K358" s="62">
        <f t="shared" si="27"/>
        <v>0</v>
      </c>
      <c r="L358" s="62">
        <f t="shared" si="28"/>
        <v>0</v>
      </c>
      <c r="M358" s="63">
        <f t="shared" si="29"/>
        <v>0</v>
      </c>
    </row>
    <row r="359" spans="1:13" ht="12.75" hidden="1" x14ac:dyDescent="0.2">
      <c r="A359" s="56" t="s">
        <v>345</v>
      </c>
      <c r="B359" s="56" t="s">
        <v>346</v>
      </c>
      <c r="C359" s="57"/>
      <c r="D359" s="58">
        <v>9.76</v>
      </c>
      <c r="E359" s="58" t="s">
        <v>76</v>
      </c>
      <c r="F359" s="59" t="str">
        <f t="shared" si="25"/>
        <v>0011</v>
      </c>
      <c r="G359" s="60"/>
      <c r="H359" s="61">
        <v>2880</v>
      </c>
      <c r="I359" s="61">
        <v>2880</v>
      </c>
      <c r="J359" s="62">
        <f t="shared" si="26"/>
        <v>28108.799999999999</v>
      </c>
      <c r="K359" s="62">
        <f t="shared" si="27"/>
        <v>0</v>
      </c>
      <c r="L359" s="62">
        <f t="shared" si="28"/>
        <v>0</v>
      </c>
      <c r="M359" s="63">
        <f t="shared" si="29"/>
        <v>0</v>
      </c>
    </row>
    <row r="360" spans="1:13" ht="12.75" hidden="1" x14ac:dyDescent="0.2">
      <c r="A360" s="56" t="s">
        <v>355</v>
      </c>
      <c r="B360" s="56" t="s">
        <v>356</v>
      </c>
      <c r="C360" s="57"/>
      <c r="D360" s="58">
        <v>0</v>
      </c>
      <c r="E360" s="58" t="s">
        <v>11</v>
      </c>
      <c r="F360" s="59" t="str">
        <f t="shared" si="25"/>
        <v>0011</v>
      </c>
      <c r="G360" s="60"/>
      <c r="H360" s="61">
        <v>10</v>
      </c>
      <c r="I360" s="61">
        <v>6</v>
      </c>
      <c r="J360" s="62">
        <f t="shared" si="26"/>
        <v>0</v>
      </c>
      <c r="K360" s="62">
        <f t="shared" si="27"/>
        <v>4</v>
      </c>
      <c r="L360" s="62">
        <f t="shared" si="28"/>
        <v>4</v>
      </c>
      <c r="M360" s="63">
        <f t="shared" si="29"/>
        <v>0</v>
      </c>
    </row>
    <row r="361" spans="1:13" ht="12.75" hidden="1" x14ac:dyDescent="0.2">
      <c r="A361" s="56" t="s">
        <v>357</v>
      </c>
      <c r="B361" s="56" t="s">
        <v>358</v>
      </c>
      <c r="C361" s="57"/>
      <c r="D361" s="58">
        <v>11.42</v>
      </c>
      <c r="E361" s="58" t="s">
        <v>11</v>
      </c>
      <c r="F361" s="59" t="str">
        <f t="shared" si="25"/>
        <v>0011</v>
      </c>
      <c r="G361" s="60"/>
      <c r="H361" s="61">
        <v>1000</v>
      </c>
      <c r="I361" s="61">
        <v>1000</v>
      </c>
      <c r="J361" s="62">
        <f t="shared" si="26"/>
        <v>11420</v>
      </c>
      <c r="K361" s="62">
        <f t="shared" si="27"/>
        <v>0</v>
      </c>
      <c r="L361" s="62">
        <f t="shared" si="28"/>
        <v>0</v>
      </c>
      <c r="M361" s="63">
        <f t="shared" si="29"/>
        <v>0</v>
      </c>
    </row>
    <row r="362" spans="1:13" ht="12.75" hidden="1" x14ac:dyDescent="0.2">
      <c r="A362" s="56" t="s">
        <v>366</v>
      </c>
      <c r="B362" s="56" t="s">
        <v>367</v>
      </c>
      <c r="C362" s="57"/>
      <c r="D362" s="58">
        <v>5.34</v>
      </c>
      <c r="E362" s="58" t="s">
        <v>11</v>
      </c>
      <c r="F362" s="59" t="str">
        <f t="shared" si="25"/>
        <v>0011</v>
      </c>
      <c r="G362" s="60"/>
      <c r="H362" s="61">
        <v>129</v>
      </c>
      <c r="I362" s="61">
        <v>129</v>
      </c>
      <c r="J362" s="62">
        <f t="shared" si="26"/>
        <v>688.86</v>
      </c>
      <c r="K362" s="62">
        <f t="shared" si="27"/>
        <v>0</v>
      </c>
      <c r="L362" s="62">
        <f t="shared" si="28"/>
        <v>0</v>
      </c>
      <c r="M362" s="63">
        <f t="shared" si="29"/>
        <v>0</v>
      </c>
    </row>
    <row r="363" spans="1:13" ht="12.75" hidden="1" x14ac:dyDescent="0.2">
      <c r="A363" s="56" t="s">
        <v>379</v>
      </c>
      <c r="B363" s="56" t="s">
        <v>380</v>
      </c>
      <c r="C363" s="57"/>
      <c r="D363" s="58">
        <v>3.47</v>
      </c>
      <c r="E363" s="58" t="s">
        <v>11</v>
      </c>
      <c r="F363" s="59" t="str">
        <f t="shared" si="25"/>
        <v>0011</v>
      </c>
      <c r="G363" s="60"/>
      <c r="H363" s="61">
        <v>500</v>
      </c>
      <c r="I363" s="61">
        <v>500</v>
      </c>
      <c r="J363" s="62">
        <f t="shared" si="26"/>
        <v>1735</v>
      </c>
      <c r="K363" s="62">
        <f t="shared" si="27"/>
        <v>0</v>
      </c>
      <c r="L363" s="62">
        <f t="shared" si="28"/>
        <v>0</v>
      </c>
      <c r="M363" s="63">
        <f t="shared" si="29"/>
        <v>0</v>
      </c>
    </row>
    <row r="364" spans="1:13" ht="12.75" hidden="1" x14ac:dyDescent="0.2">
      <c r="A364" s="56" t="s">
        <v>385</v>
      </c>
      <c r="B364" s="56" t="s">
        <v>386</v>
      </c>
      <c r="C364" s="57"/>
      <c r="D364" s="58">
        <v>326.63</v>
      </c>
      <c r="E364" s="58" t="s">
        <v>11</v>
      </c>
      <c r="F364" s="59" t="str">
        <f t="shared" si="25"/>
        <v>0011</v>
      </c>
      <c r="G364" s="60"/>
      <c r="H364" s="61">
        <v>5</v>
      </c>
      <c r="I364" s="61">
        <v>5</v>
      </c>
      <c r="J364" s="62">
        <f t="shared" si="26"/>
        <v>1633.15</v>
      </c>
      <c r="K364" s="62">
        <f t="shared" si="27"/>
        <v>0</v>
      </c>
      <c r="L364" s="62">
        <f t="shared" si="28"/>
        <v>0</v>
      </c>
      <c r="M364" s="63">
        <f t="shared" si="29"/>
        <v>0</v>
      </c>
    </row>
    <row r="365" spans="1:13" ht="12.75" hidden="1" x14ac:dyDescent="0.2">
      <c r="A365" s="56" t="s">
        <v>391</v>
      </c>
      <c r="B365" s="56" t="s">
        <v>392</v>
      </c>
      <c r="C365" s="57"/>
      <c r="D365" s="58">
        <v>0</v>
      </c>
      <c r="E365" s="58" t="s">
        <v>11</v>
      </c>
      <c r="F365" s="59" t="str">
        <f t="shared" si="25"/>
        <v>0011</v>
      </c>
      <c r="G365" s="60"/>
      <c r="H365" s="61">
        <v>0</v>
      </c>
      <c r="I365" s="61">
        <v>8</v>
      </c>
      <c r="J365" s="62">
        <f t="shared" si="26"/>
        <v>0</v>
      </c>
      <c r="K365" s="62">
        <f t="shared" si="27"/>
        <v>-8</v>
      </c>
      <c r="L365" s="62">
        <f t="shared" si="28"/>
        <v>-8</v>
      </c>
      <c r="M365" s="63">
        <f t="shared" si="29"/>
        <v>0</v>
      </c>
    </row>
    <row r="366" spans="1:13" ht="12.75" hidden="1" x14ac:dyDescent="0.2">
      <c r="A366" s="56" t="s">
        <v>395</v>
      </c>
      <c r="B366" s="56" t="s">
        <v>396</v>
      </c>
      <c r="C366" s="57"/>
      <c r="D366" s="58">
        <v>62.75</v>
      </c>
      <c r="E366" s="58" t="s">
        <v>11</v>
      </c>
      <c r="F366" s="59" t="str">
        <f t="shared" si="25"/>
        <v>0011</v>
      </c>
      <c r="G366" s="60"/>
      <c r="H366" s="61">
        <v>22</v>
      </c>
      <c r="I366" s="61">
        <v>22</v>
      </c>
      <c r="J366" s="62">
        <f t="shared" si="26"/>
        <v>1380.5</v>
      </c>
      <c r="K366" s="62">
        <f t="shared" si="27"/>
        <v>0</v>
      </c>
      <c r="L366" s="62">
        <f t="shared" si="28"/>
        <v>0</v>
      </c>
      <c r="M366" s="63">
        <f t="shared" si="29"/>
        <v>0</v>
      </c>
    </row>
    <row r="367" spans="1:13" ht="12.75" hidden="1" x14ac:dyDescent="0.2">
      <c r="A367" s="56" t="s">
        <v>397</v>
      </c>
      <c r="B367" s="56" t="s">
        <v>398</v>
      </c>
      <c r="C367" s="57"/>
      <c r="D367" s="58">
        <v>108.68</v>
      </c>
      <c r="E367" s="58" t="s">
        <v>11</v>
      </c>
      <c r="F367" s="59" t="str">
        <f t="shared" si="25"/>
        <v>0011</v>
      </c>
      <c r="G367" s="60"/>
      <c r="H367" s="61">
        <v>1</v>
      </c>
      <c r="I367" s="61">
        <v>1</v>
      </c>
      <c r="J367" s="62">
        <f t="shared" si="26"/>
        <v>108.68</v>
      </c>
      <c r="K367" s="62">
        <f t="shared" si="27"/>
        <v>0</v>
      </c>
      <c r="L367" s="62">
        <f t="shared" si="28"/>
        <v>0</v>
      </c>
      <c r="M367" s="63">
        <f t="shared" si="29"/>
        <v>0</v>
      </c>
    </row>
    <row r="368" spans="1:13" ht="12.75" hidden="1" x14ac:dyDescent="0.2">
      <c r="A368" s="56" t="s">
        <v>401</v>
      </c>
      <c r="B368" s="56" t="s">
        <v>402</v>
      </c>
      <c r="C368" s="57"/>
      <c r="D368" s="58">
        <v>1</v>
      </c>
      <c r="E368" s="58" t="s">
        <v>11</v>
      </c>
      <c r="F368" s="59" t="str">
        <f t="shared" si="25"/>
        <v>0011</v>
      </c>
      <c r="G368" s="60"/>
      <c r="H368" s="61">
        <v>29</v>
      </c>
      <c r="I368" s="61">
        <v>29</v>
      </c>
      <c r="J368" s="62">
        <f t="shared" si="26"/>
        <v>29</v>
      </c>
      <c r="K368" s="62">
        <f t="shared" si="27"/>
        <v>0</v>
      </c>
      <c r="L368" s="62">
        <f t="shared" si="28"/>
        <v>0</v>
      </c>
      <c r="M368" s="63">
        <f t="shared" si="29"/>
        <v>0</v>
      </c>
    </row>
    <row r="369" spans="1:13" ht="12.75" hidden="1" x14ac:dyDescent="0.2">
      <c r="A369" s="56" t="s">
        <v>409</v>
      </c>
      <c r="B369" s="56" t="s">
        <v>410</v>
      </c>
      <c r="C369" s="57"/>
      <c r="D369" s="58">
        <v>57.47</v>
      </c>
      <c r="E369" s="58" t="s">
        <v>11</v>
      </c>
      <c r="F369" s="59" t="str">
        <f t="shared" si="25"/>
        <v>0011</v>
      </c>
      <c r="G369" s="60"/>
      <c r="H369" s="61">
        <v>15</v>
      </c>
      <c r="I369" s="61">
        <v>15</v>
      </c>
      <c r="J369" s="62">
        <f t="shared" si="26"/>
        <v>862.05</v>
      </c>
      <c r="K369" s="62">
        <f t="shared" si="27"/>
        <v>0</v>
      </c>
      <c r="L369" s="62">
        <f t="shared" si="28"/>
        <v>0</v>
      </c>
      <c r="M369" s="63">
        <f t="shared" si="29"/>
        <v>0</v>
      </c>
    </row>
    <row r="370" spans="1:13" ht="12.75" hidden="1" x14ac:dyDescent="0.2">
      <c r="A370" s="56" t="s">
        <v>413</v>
      </c>
      <c r="B370" s="56" t="s">
        <v>414</v>
      </c>
      <c r="C370" s="57"/>
      <c r="D370" s="58">
        <v>28.53</v>
      </c>
      <c r="E370" s="58" t="s">
        <v>11</v>
      </c>
      <c r="F370" s="59" t="str">
        <f t="shared" si="25"/>
        <v>0011</v>
      </c>
      <c r="G370" s="60"/>
      <c r="H370" s="61">
        <v>477</v>
      </c>
      <c r="I370" s="61">
        <v>477</v>
      </c>
      <c r="J370" s="62">
        <f t="shared" si="26"/>
        <v>13608.810000000001</v>
      </c>
      <c r="K370" s="62">
        <f t="shared" si="27"/>
        <v>0</v>
      </c>
      <c r="L370" s="62">
        <f t="shared" si="28"/>
        <v>0</v>
      </c>
      <c r="M370" s="63">
        <f t="shared" si="29"/>
        <v>0</v>
      </c>
    </row>
    <row r="371" spans="1:13" ht="12.75" hidden="1" x14ac:dyDescent="0.2">
      <c r="A371" s="56" t="s">
        <v>210</v>
      </c>
      <c r="B371" s="56" t="s">
        <v>211</v>
      </c>
      <c r="C371" s="57" t="s">
        <v>426</v>
      </c>
      <c r="D371" s="58">
        <v>29.48</v>
      </c>
      <c r="E371" s="58" t="s">
        <v>11</v>
      </c>
      <c r="F371" s="59" t="str">
        <f t="shared" si="25"/>
        <v>0011</v>
      </c>
      <c r="G371" s="60"/>
      <c r="H371" s="61">
        <v>30</v>
      </c>
      <c r="I371" s="61">
        <v>30</v>
      </c>
      <c r="J371" s="62">
        <f t="shared" si="26"/>
        <v>884.4</v>
      </c>
      <c r="K371" s="62">
        <f t="shared" si="27"/>
        <v>0</v>
      </c>
      <c r="L371" s="62">
        <f t="shared" si="28"/>
        <v>0</v>
      </c>
      <c r="M371" s="63">
        <f t="shared" si="29"/>
        <v>0</v>
      </c>
    </row>
    <row r="372" spans="1:13" ht="12.75" hidden="1" x14ac:dyDescent="0.2">
      <c r="A372" s="56" t="s">
        <v>436</v>
      </c>
      <c r="B372" s="56" t="s">
        <v>437</v>
      </c>
      <c r="C372" s="57" t="s">
        <v>438</v>
      </c>
      <c r="D372" s="58">
        <v>87.48</v>
      </c>
      <c r="E372" s="58" t="s">
        <v>11</v>
      </c>
      <c r="F372" s="59" t="str">
        <f t="shared" si="25"/>
        <v>0011</v>
      </c>
      <c r="G372" s="60"/>
      <c r="H372" s="61">
        <v>58</v>
      </c>
      <c r="I372" s="61">
        <v>58</v>
      </c>
      <c r="J372" s="62">
        <f t="shared" si="26"/>
        <v>5073.84</v>
      </c>
      <c r="K372" s="62">
        <f t="shared" si="27"/>
        <v>0</v>
      </c>
      <c r="L372" s="62">
        <f t="shared" si="28"/>
        <v>0</v>
      </c>
      <c r="M372" s="63">
        <f t="shared" si="29"/>
        <v>0</v>
      </c>
    </row>
    <row r="373" spans="1:13" ht="12.75" hidden="1" x14ac:dyDescent="0.2">
      <c r="A373" s="56" t="s">
        <v>444</v>
      </c>
      <c r="B373" s="56" t="s">
        <v>445</v>
      </c>
      <c r="C373" s="57" t="s">
        <v>446</v>
      </c>
      <c r="D373" s="58">
        <v>126.51</v>
      </c>
      <c r="E373" s="58" t="s">
        <v>11</v>
      </c>
      <c r="F373" s="59" t="str">
        <f t="shared" si="25"/>
        <v>0011</v>
      </c>
      <c r="G373" s="60"/>
      <c r="H373" s="61">
        <v>206</v>
      </c>
      <c r="I373" s="61">
        <v>206</v>
      </c>
      <c r="J373" s="62">
        <f t="shared" si="26"/>
        <v>26061.06</v>
      </c>
      <c r="K373" s="62">
        <f t="shared" si="27"/>
        <v>0</v>
      </c>
      <c r="L373" s="62">
        <f t="shared" si="28"/>
        <v>0</v>
      </c>
      <c r="M373" s="63">
        <f t="shared" si="29"/>
        <v>0</v>
      </c>
    </row>
    <row r="374" spans="1:13" ht="12.75" hidden="1" x14ac:dyDescent="0.2">
      <c r="A374" s="56" t="s">
        <v>447</v>
      </c>
      <c r="B374" s="56" t="s">
        <v>448</v>
      </c>
      <c r="C374" s="57" t="s">
        <v>449</v>
      </c>
      <c r="D374" s="58">
        <v>1032.81</v>
      </c>
      <c r="E374" s="58" t="s">
        <v>11</v>
      </c>
      <c r="F374" s="59" t="str">
        <f t="shared" si="25"/>
        <v>0011</v>
      </c>
      <c r="G374" s="60"/>
      <c r="H374" s="61">
        <v>10</v>
      </c>
      <c r="I374" s="61">
        <v>10</v>
      </c>
      <c r="J374" s="62">
        <f t="shared" si="26"/>
        <v>10328.099999999999</v>
      </c>
      <c r="K374" s="62">
        <f t="shared" si="27"/>
        <v>0</v>
      </c>
      <c r="L374" s="62">
        <f t="shared" si="28"/>
        <v>0</v>
      </c>
      <c r="M374" s="63">
        <f t="shared" si="29"/>
        <v>0</v>
      </c>
    </row>
    <row r="375" spans="1:13" ht="12.75" hidden="1" x14ac:dyDescent="0.2">
      <c r="A375" s="56" t="s">
        <v>452</v>
      </c>
      <c r="B375" s="56" t="s">
        <v>453</v>
      </c>
      <c r="C375" s="57"/>
      <c r="D375" s="58">
        <v>140.63</v>
      </c>
      <c r="E375" s="58" t="s">
        <v>11</v>
      </c>
      <c r="F375" s="59" t="str">
        <f t="shared" si="25"/>
        <v>0011</v>
      </c>
      <c r="G375" s="60"/>
      <c r="H375" s="61">
        <v>16</v>
      </c>
      <c r="I375" s="61">
        <v>16</v>
      </c>
      <c r="J375" s="62">
        <f t="shared" si="26"/>
        <v>2250.08</v>
      </c>
      <c r="K375" s="62">
        <f t="shared" si="27"/>
        <v>0</v>
      </c>
      <c r="L375" s="62">
        <f t="shared" si="28"/>
        <v>0</v>
      </c>
      <c r="M375" s="63">
        <f t="shared" si="29"/>
        <v>0</v>
      </c>
    </row>
    <row r="376" spans="1:13" ht="12.75" hidden="1" x14ac:dyDescent="0.2">
      <c r="A376" s="56" t="s">
        <v>460</v>
      </c>
      <c r="B376" s="56" t="s">
        <v>461</v>
      </c>
      <c r="C376" s="57"/>
      <c r="D376" s="58">
        <v>2.84</v>
      </c>
      <c r="E376" s="58" t="s">
        <v>11</v>
      </c>
      <c r="F376" s="59" t="str">
        <f t="shared" si="25"/>
        <v>0011</v>
      </c>
      <c r="G376" s="60"/>
      <c r="H376" s="61">
        <v>500</v>
      </c>
      <c r="I376" s="61">
        <v>500</v>
      </c>
      <c r="J376" s="62">
        <f t="shared" si="26"/>
        <v>1420</v>
      </c>
      <c r="K376" s="62">
        <f t="shared" si="27"/>
        <v>0</v>
      </c>
      <c r="L376" s="62">
        <f t="shared" si="28"/>
        <v>0</v>
      </c>
      <c r="M376" s="63">
        <f t="shared" si="29"/>
        <v>0</v>
      </c>
    </row>
    <row r="377" spans="1:13" ht="12.75" hidden="1" x14ac:dyDescent="0.2">
      <c r="A377" s="56" t="s">
        <v>214</v>
      </c>
      <c r="B377" s="56" t="s">
        <v>215</v>
      </c>
      <c r="C377" s="57" t="s">
        <v>474</v>
      </c>
      <c r="D377" s="58">
        <v>15.11</v>
      </c>
      <c r="E377" s="58" t="s">
        <v>11</v>
      </c>
      <c r="F377" s="59" t="str">
        <f t="shared" si="25"/>
        <v>0011</v>
      </c>
      <c r="G377" s="60"/>
      <c r="H377" s="61">
        <v>1038</v>
      </c>
      <c r="I377" s="61">
        <v>1038</v>
      </c>
      <c r="J377" s="62">
        <f t="shared" si="26"/>
        <v>15684.18</v>
      </c>
      <c r="K377" s="62">
        <f t="shared" si="27"/>
        <v>0</v>
      </c>
      <c r="L377" s="62">
        <f t="shared" si="28"/>
        <v>0</v>
      </c>
      <c r="M377" s="63">
        <f t="shared" si="29"/>
        <v>0</v>
      </c>
    </row>
    <row r="378" spans="1:13" ht="12.75" hidden="1" x14ac:dyDescent="0.2">
      <c r="A378" s="56" t="s">
        <v>217</v>
      </c>
      <c r="B378" s="56" t="s">
        <v>218</v>
      </c>
      <c r="C378" s="57" t="s">
        <v>479</v>
      </c>
      <c r="D378" s="58">
        <v>13.96</v>
      </c>
      <c r="E378" s="58" t="s">
        <v>11</v>
      </c>
      <c r="F378" s="59" t="str">
        <f t="shared" si="25"/>
        <v>0011</v>
      </c>
      <c r="G378" s="60"/>
      <c r="H378" s="61">
        <v>36</v>
      </c>
      <c r="I378" s="61">
        <v>36</v>
      </c>
      <c r="J378" s="62">
        <f t="shared" si="26"/>
        <v>502.56000000000006</v>
      </c>
      <c r="K378" s="62">
        <f t="shared" si="27"/>
        <v>0</v>
      </c>
      <c r="L378" s="62">
        <f t="shared" si="28"/>
        <v>0</v>
      </c>
      <c r="M378" s="63">
        <f t="shared" si="29"/>
        <v>0</v>
      </c>
    </row>
    <row r="379" spans="1:13" ht="12.75" hidden="1" x14ac:dyDescent="0.2">
      <c r="A379" s="56" t="s">
        <v>220</v>
      </c>
      <c r="B379" s="56" t="s">
        <v>221</v>
      </c>
      <c r="C379" s="57" t="s">
        <v>19</v>
      </c>
      <c r="D379" s="58">
        <v>14.83</v>
      </c>
      <c r="E379" s="58" t="s">
        <v>11</v>
      </c>
      <c r="F379" s="59" t="str">
        <f t="shared" si="25"/>
        <v>0011</v>
      </c>
      <c r="G379" s="60"/>
      <c r="H379" s="61">
        <v>6</v>
      </c>
      <c r="I379" s="61">
        <v>6</v>
      </c>
      <c r="J379" s="62">
        <f t="shared" si="26"/>
        <v>88.98</v>
      </c>
      <c r="K379" s="62">
        <f t="shared" si="27"/>
        <v>0</v>
      </c>
      <c r="L379" s="62">
        <f t="shared" si="28"/>
        <v>0</v>
      </c>
      <c r="M379" s="63">
        <f t="shared" si="29"/>
        <v>0</v>
      </c>
    </row>
    <row r="380" spans="1:13" ht="12.75" hidden="1" x14ac:dyDescent="0.2">
      <c r="A380" s="56" t="s">
        <v>229</v>
      </c>
      <c r="B380" s="56" t="s">
        <v>230</v>
      </c>
      <c r="C380" s="57" t="s">
        <v>486</v>
      </c>
      <c r="D380" s="58">
        <v>9.83</v>
      </c>
      <c r="E380" s="58" t="s">
        <v>11</v>
      </c>
      <c r="F380" s="59" t="str">
        <f t="shared" si="25"/>
        <v>0011</v>
      </c>
      <c r="G380" s="60"/>
      <c r="H380" s="61">
        <v>552</v>
      </c>
      <c r="I380" s="61">
        <v>552</v>
      </c>
      <c r="J380" s="62">
        <f t="shared" si="26"/>
        <v>5426.16</v>
      </c>
      <c r="K380" s="62">
        <f t="shared" si="27"/>
        <v>0</v>
      </c>
      <c r="L380" s="62">
        <f t="shared" si="28"/>
        <v>0</v>
      </c>
      <c r="M380" s="63">
        <f t="shared" si="29"/>
        <v>0</v>
      </c>
    </row>
    <row r="381" spans="1:13" ht="12.75" hidden="1" x14ac:dyDescent="0.2">
      <c r="A381" s="56" t="s">
        <v>232</v>
      </c>
      <c r="B381" s="56" t="s">
        <v>233</v>
      </c>
      <c r="C381" s="57" t="s">
        <v>490</v>
      </c>
      <c r="D381" s="58">
        <v>27.68</v>
      </c>
      <c r="E381" s="58" t="s">
        <v>11</v>
      </c>
      <c r="F381" s="59" t="str">
        <f t="shared" si="25"/>
        <v>0011</v>
      </c>
      <c r="G381" s="60"/>
      <c r="H381" s="61">
        <v>1920</v>
      </c>
      <c r="I381" s="61">
        <v>1920</v>
      </c>
      <c r="J381" s="62">
        <f t="shared" si="26"/>
        <v>53145.599999999999</v>
      </c>
      <c r="K381" s="62">
        <f t="shared" si="27"/>
        <v>0</v>
      </c>
      <c r="L381" s="62">
        <f t="shared" si="28"/>
        <v>0</v>
      </c>
      <c r="M381" s="63">
        <f t="shared" si="29"/>
        <v>0</v>
      </c>
    </row>
    <row r="382" spans="1:13" ht="12.75" hidden="1" x14ac:dyDescent="0.2">
      <c r="A382" s="56" t="s">
        <v>239</v>
      </c>
      <c r="B382" s="56" t="s">
        <v>240</v>
      </c>
      <c r="C382" s="57" t="s">
        <v>245</v>
      </c>
      <c r="D382" s="58">
        <v>26.36</v>
      </c>
      <c r="E382" s="58" t="s">
        <v>11</v>
      </c>
      <c r="F382" s="59" t="str">
        <f t="shared" si="25"/>
        <v>0011</v>
      </c>
      <c r="G382" s="60"/>
      <c r="H382" s="61">
        <v>1260</v>
      </c>
      <c r="I382" s="61">
        <v>1260</v>
      </c>
      <c r="J382" s="62">
        <f t="shared" si="26"/>
        <v>33213.599999999999</v>
      </c>
      <c r="K382" s="62">
        <f t="shared" si="27"/>
        <v>0</v>
      </c>
      <c r="L382" s="62">
        <f t="shared" si="28"/>
        <v>0</v>
      </c>
      <c r="M382" s="63">
        <f t="shared" si="29"/>
        <v>0</v>
      </c>
    </row>
    <row r="383" spans="1:13" ht="12.75" hidden="1" x14ac:dyDescent="0.2">
      <c r="A383" s="56" t="s">
        <v>239</v>
      </c>
      <c r="B383" s="56" t="s">
        <v>240</v>
      </c>
      <c r="C383" s="57" t="s">
        <v>494</v>
      </c>
      <c r="D383" s="58">
        <v>26.36</v>
      </c>
      <c r="E383" s="58" t="s">
        <v>11</v>
      </c>
      <c r="F383" s="59" t="str">
        <f t="shared" si="25"/>
        <v>0011</v>
      </c>
      <c r="G383" s="60"/>
      <c r="H383" s="61">
        <v>16640</v>
      </c>
      <c r="I383" s="61">
        <v>16640</v>
      </c>
      <c r="J383" s="62">
        <f t="shared" si="26"/>
        <v>438630.39999999997</v>
      </c>
      <c r="K383" s="62">
        <f t="shared" si="27"/>
        <v>0</v>
      </c>
      <c r="L383" s="62">
        <f t="shared" si="28"/>
        <v>0</v>
      </c>
      <c r="M383" s="63">
        <f t="shared" si="29"/>
        <v>0</v>
      </c>
    </row>
    <row r="384" spans="1:13" ht="12.75" hidden="1" x14ac:dyDescent="0.2">
      <c r="A384" s="56" t="s">
        <v>239</v>
      </c>
      <c r="B384" s="56" t="s">
        <v>240</v>
      </c>
      <c r="C384" s="57" t="s">
        <v>495</v>
      </c>
      <c r="D384" s="58">
        <v>26.36</v>
      </c>
      <c r="E384" s="58" t="s">
        <v>11</v>
      </c>
      <c r="F384" s="59" t="str">
        <f t="shared" si="25"/>
        <v>0011</v>
      </c>
      <c r="G384" s="60"/>
      <c r="H384" s="61">
        <v>16000</v>
      </c>
      <c r="I384" s="61">
        <v>16000</v>
      </c>
      <c r="J384" s="62">
        <f t="shared" si="26"/>
        <v>421760</v>
      </c>
      <c r="K384" s="62">
        <f t="shared" si="27"/>
        <v>0</v>
      </c>
      <c r="L384" s="62">
        <f t="shared" si="28"/>
        <v>0</v>
      </c>
      <c r="M384" s="63">
        <f t="shared" si="29"/>
        <v>0</v>
      </c>
    </row>
    <row r="385" spans="1:13" ht="12.75" hidden="1" x14ac:dyDescent="0.2">
      <c r="A385" s="56" t="s">
        <v>239</v>
      </c>
      <c r="B385" s="56" t="s">
        <v>240</v>
      </c>
      <c r="C385" s="57" t="s">
        <v>497</v>
      </c>
      <c r="D385" s="58">
        <v>26.36</v>
      </c>
      <c r="E385" s="58" t="s">
        <v>11</v>
      </c>
      <c r="F385" s="59" t="str">
        <f t="shared" si="25"/>
        <v>0011</v>
      </c>
      <c r="G385" s="60"/>
      <c r="H385" s="61">
        <v>12800</v>
      </c>
      <c r="I385" s="61">
        <v>12800</v>
      </c>
      <c r="J385" s="62">
        <f t="shared" si="26"/>
        <v>337408</v>
      </c>
      <c r="K385" s="62">
        <f t="shared" si="27"/>
        <v>0</v>
      </c>
      <c r="L385" s="62">
        <f t="shared" si="28"/>
        <v>0</v>
      </c>
      <c r="M385" s="63">
        <f t="shared" si="29"/>
        <v>0</v>
      </c>
    </row>
    <row r="386" spans="1:13" ht="12.75" hidden="1" x14ac:dyDescent="0.2">
      <c r="A386" s="56" t="s">
        <v>239</v>
      </c>
      <c r="B386" s="56" t="s">
        <v>240</v>
      </c>
      <c r="C386" s="57" t="s">
        <v>498</v>
      </c>
      <c r="D386" s="58">
        <v>26.36</v>
      </c>
      <c r="E386" s="58" t="s">
        <v>11</v>
      </c>
      <c r="F386" s="59" t="str">
        <f t="shared" si="25"/>
        <v>0011</v>
      </c>
      <c r="G386" s="60"/>
      <c r="H386" s="61">
        <v>18560</v>
      </c>
      <c r="I386" s="61">
        <v>18560</v>
      </c>
      <c r="J386" s="62">
        <f t="shared" si="26"/>
        <v>489241.59999999998</v>
      </c>
      <c r="K386" s="62">
        <f t="shared" si="27"/>
        <v>0</v>
      </c>
      <c r="L386" s="62">
        <f t="shared" si="28"/>
        <v>0</v>
      </c>
      <c r="M386" s="63">
        <f t="shared" si="29"/>
        <v>0</v>
      </c>
    </row>
    <row r="387" spans="1:13" ht="12.75" hidden="1" x14ac:dyDescent="0.2">
      <c r="A387" s="56" t="s">
        <v>509</v>
      </c>
      <c r="B387" s="56" t="s">
        <v>510</v>
      </c>
      <c r="C387" s="57" t="s">
        <v>511</v>
      </c>
      <c r="D387" s="58">
        <v>16.11</v>
      </c>
      <c r="E387" s="58" t="s">
        <v>11</v>
      </c>
      <c r="F387" s="59" t="str">
        <f t="shared" si="25"/>
        <v>0011</v>
      </c>
      <c r="G387" s="60"/>
      <c r="H387" s="61">
        <v>700</v>
      </c>
      <c r="I387" s="61">
        <v>700</v>
      </c>
      <c r="J387" s="62">
        <f t="shared" si="26"/>
        <v>11277</v>
      </c>
      <c r="K387" s="62">
        <f t="shared" si="27"/>
        <v>0</v>
      </c>
      <c r="L387" s="62">
        <f t="shared" si="28"/>
        <v>0</v>
      </c>
      <c r="M387" s="63">
        <f t="shared" si="29"/>
        <v>0</v>
      </c>
    </row>
    <row r="388" spans="1:13" ht="12.75" hidden="1" x14ac:dyDescent="0.2">
      <c r="A388" s="56" t="s">
        <v>105</v>
      </c>
      <c r="B388" s="56" t="s">
        <v>106</v>
      </c>
      <c r="C388" s="57" t="s">
        <v>517</v>
      </c>
      <c r="D388" s="58">
        <v>24.23</v>
      </c>
      <c r="E388" s="58" t="s">
        <v>11</v>
      </c>
      <c r="F388" s="59" t="str">
        <f t="shared" si="25"/>
        <v>0011</v>
      </c>
      <c r="G388" s="60"/>
      <c r="H388" s="61">
        <v>640</v>
      </c>
      <c r="I388" s="61">
        <v>640</v>
      </c>
      <c r="J388" s="62">
        <f t="shared" si="26"/>
        <v>15507.2</v>
      </c>
      <c r="K388" s="62">
        <f t="shared" si="27"/>
        <v>0</v>
      </c>
      <c r="L388" s="62">
        <f t="shared" si="28"/>
        <v>0</v>
      </c>
      <c r="M388" s="63">
        <f t="shared" si="29"/>
        <v>0</v>
      </c>
    </row>
    <row r="389" spans="1:13" ht="12.75" hidden="1" x14ac:dyDescent="0.2">
      <c r="A389" s="56" t="s">
        <v>35</v>
      </c>
      <c r="B389" s="56" t="s">
        <v>36</v>
      </c>
      <c r="C389" s="57" t="s">
        <v>526</v>
      </c>
      <c r="D389" s="58">
        <v>2.97</v>
      </c>
      <c r="E389" s="58" t="s">
        <v>11</v>
      </c>
      <c r="F389" s="59" t="str">
        <f t="shared" si="25"/>
        <v>0011</v>
      </c>
      <c r="G389" s="60"/>
      <c r="H389" s="61">
        <v>9072</v>
      </c>
      <c r="I389" s="61">
        <v>9072</v>
      </c>
      <c r="J389" s="62">
        <f t="shared" si="26"/>
        <v>26943.84</v>
      </c>
      <c r="K389" s="62">
        <f t="shared" si="27"/>
        <v>0</v>
      </c>
      <c r="L389" s="62">
        <f t="shared" si="28"/>
        <v>0</v>
      </c>
      <c r="M389" s="63">
        <f t="shared" si="29"/>
        <v>0</v>
      </c>
    </row>
    <row r="390" spans="1:13" ht="12.75" hidden="1" x14ac:dyDescent="0.2">
      <c r="A390" s="56" t="s">
        <v>38</v>
      </c>
      <c r="B390" s="56" t="s">
        <v>39</v>
      </c>
      <c r="C390" s="57" t="s">
        <v>532</v>
      </c>
      <c r="D390" s="58">
        <v>2.95</v>
      </c>
      <c r="E390" s="58" t="s">
        <v>11</v>
      </c>
      <c r="F390" s="59" t="str">
        <f t="shared" si="25"/>
        <v>0011</v>
      </c>
      <c r="G390" s="60"/>
      <c r="H390" s="61">
        <v>6072</v>
      </c>
      <c r="I390" s="61">
        <v>6072</v>
      </c>
      <c r="J390" s="62">
        <f t="shared" si="26"/>
        <v>17912.400000000001</v>
      </c>
      <c r="K390" s="62">
        <f t="shared" si="27"/>
        <v>0</v>
      </c>
      <c r="L390" s="62">
        <f t="shared" si="28"/>
        <v>0</v>
      </c>
      <c r="M390" s="63">
        <f t="shared" si="29"/>
        <v>0</v>
      </c>
    </row>
    <row r="391" spans="1:13" ht="12.75" hidden="1" x14ac:dyDescent="0.2">
      <c r="A391" s="56" t="s">
        <v>38</v>
      </c>
      <c r="B391" s="56" t="s">
        <v>39</v>
      </c>
      <c r="C391" s="57" t="s">
        <v>533</v>
      </c>
      <c r="D391" s="58">
        <v>2.95</v>
      </c>
      <c r="E391" s="58" t="s">
        <v>11</v>
      </c>
      <c r="F391" s="59" t="str">
        <f t="shared" si="25"/>
        <v>0011</v>
      </c>
      <c r="G391" s="60"/>
      <c r="H391" s="61">
        <v>6048</v>
      </c>
      <c r="I391" s="61">
        <v>6048</v>
      </c>
      <c r="J391" s="62">
        <f t="shared" si="26"/>
        <v>17841.600000000002</v>
      </c>
      <c r="K391" s="62">
        <f t="shared" si="27"/>
        <v>0</v>
      </c>
      <c r="L391" s="62">
        <f t="shared" si="28"/>
        <v>0</v>
      </c>
      <c r="M391" s="63">
        <f t="shared" si="29"/>
        <v>0</v>
      </c>
    </row>
    <row r="392" spans="1:13" ht="12.75" hidden="1" x14ac:dyDescent="0.2">
      <c r="A392" s="56" t="s">
        <v>38</v>
      </c>
      <c r="B392" s="56" t="s">
        <v>39</v>
      </c>
      <c r="C392" s="57" t="s">
        <v>534</v>
      </c>
      <c r="D392" s="58">
        <v>2.95</v>
      </c>
      <c r="E392" s="58" t="s">
        <v>11</v>
      </c>
      <c r="F392" s="59" t="str">
        <f t="shared" ref="F392:F412" si="30">+$M$3</f>
        <v>0011</v>
      </c>
      <c r="G392" s="60"/>
      <c r="H392" s="61">
        <v>6048</v>
      </c>
      <c r="I392" s="61">
        <v>6048</v>
      </c>
      <c r="J392" s="62">
        <f t="shared" ref="J392:J412" si="31">D392*H392</f>
        <v>17841.600000000002</v>
      </c>
      <c r="K392" s="62">
        <f t="shared" ref="K392:K412" si="32">H392-I392</f>
        <v>0</v>
      </c>
      <c r="L392" s="62">
        <f t="shared" ref="L392:L412" si="33">H392-I392</f>
        <v>0</v>
      </c>
      <c r="M392" s="63">
        <f t="shared" ref="M392:M412" si="34">L392*D392</f>
        <v>0</v>
      </c>
    </row>
    <row r="393" spans="1:13" ht="12.75" hidden="1" x14ac:dyDescent="0.2">
      <c r="A393" s="56" t="s">
        <v>40</v>
      </c>
      <c r="B393" s="56" t="s">
        <v>41</v>
      </c>
      <c r="C393" s="57" t="s">
        <v>537</v>
      </c>
      <c r="D393" s="58">
        <v>2.91</v>
      </c>
      <c r="E393" s="58" t="s">
        <v>11</v>
      </c>
      <c r="F393" s="59" t="str">
        <f t="shared" si="30"/>
        <v>0011</v>
      </c>
      <c r="G393" s="60"/>
      <c r="H393" s="61">
        <v>3024</v>
      </c>
      <c r="I393" s="61">
        <v>3024</v>
      </c>
      <c r="J393" s="62">
        <f t="shared" si="31"/>
        <v>8799.84</v>
      </c>
      <c r="K393" s="62">
        <f t="shared" si="32"/>
        <v>0</v>
      </c>
      <c r="L393" s="62">
        <f t="shared" si="33"/>
        <v>0</v>
      </c>
      <c r="M393" s="63">
        <f t="shared" si="34"/>
        <v>0</v>
      </c>
    </row>
    <row r="394" spans="1:13" ht="12.75" hidden="1" x14ac:dyDescent="0.2">
      <c r="A394" s="56" t="s">
        <v>42</v>
      </c>
      <c r="B394" s="56" t="s">
        <v>43</v>
      </c>
      <c r="C394" s="57" t="s">
        <v>541</v>
      </c>
      <c r="D394" s="58">
        <v>2.97</v>
      </c>
      <c r="E394" s="58" t="s">
        <v>11</v>
      </c>
      <c r="F394" s="59" t="str">
        <f t="shared" si="30"/>
        <v>0011</v>
      </c>
      <c r="G394" s="60"/>
      <c r="H394" s="61">
        <v>6048</v>
      </c>
      <c r="I394" s="61">
        <v>6048</v>
      </c>
      <c r="J394" s="62">
        <f t="shared" si="31"/>
        <v>17962.560000000001</v>
      </c>
      <c r="K394" s="62">
        <f t="shared" si="32"/>
        <v>0</v>
      </c>
      <c r="L394" s="62">
        <f t="shared" si="33"/>
        <v>0</v>
      </c>
      <c r="M394" s="63">
        <f t="shared" si="34"/>
        <v>0</v>
      </c>
    </row>
    <row r="395" spans="1:13" ht="12.75" hidden="1" x14ac:dyDescent="0.2">
      <c r="A395" s="56" t="s">
        <v>42</v>
      </c>
      <c r="B395" s="56" t="s">
        <v>43</v>
      </c>
      <c r="C395" s="57" t="s">
        <v>542</v>
      </c>
      <c r="D395" s="58">
        <v>2.97</v>
      </c>
      <c r="E395" s="58" t="s">
        <v>11</v>
      </c>
      <c r="F395" s="59" t="str">
        <f t="shared" si="30"/>
        <v>0011</v>
      </c>
      <c r="G395" s="60"/>
      <c r="H395" s="61">
        <v>9072</v>
      </c>
      <c r="I395" s="61">
        <v>9072</v>
      </c>
      <c r="J395" s="62">
        <f t="shared" si="31"/>
        <v>26943.84</v>
      </c>
      <c r="K395" s="62">
        <f t="shared" si="32"/>
        <v>0</v>
      </c>
      <c r="L395" s="62">
        <f t="shared" si="33"/>
        <v>0</v>
      </c>
      <c r="M395" s="63">
        <f t="shared" si="34"/>
        <v>0</v>
      </c>
    </row>
    <row r="396" spans="1:13" ht="12.75" hidden="1" x14ac:dyDescent="0.2">
      <c r="A396" s="56" t="s">
        <v>44</v>
      </c>
      <c r="B396" s="56" t="s">
        <v>45</v>
      </c>
      <c r="C396" s="57" t="s">
        <v>545</v>
      </c>
      <c r="D396" s="58">
        <v>2.95</v>
      </c>
      <c r="E396" s="58" t="s">
        <v>11</v>
      </c>
      <c r="F396" s="59" t="str">
        <f t="shared" si="30"/>
        <v>0011</v>
      </c>
      <c r="G396" s="60"/>
      <c r="H396" s="61">
        <v>6048</v>
      </c>
      <c r="I396" s="61">
        <v>6048</v>
      </c>
      <c r="J396" s="62">
        <f t="shared" si="31"/>
        <v>17841.600000000002</v>
      </c>
      <c r="K396" s="62">
        <f t="shared" si="32"/>
        <v>0</v>
      </c>
      <c r="L396" s="62">
        <f t="shared" si="33"/>
        <v>0</v>
      </c>
      <c r="M396" s="63">
        <f t="shared" si="34"/>
        <v>0</v>
      </c>
    </row>
    <row r="397" spans="1:13" ht="12.75" hidden="1" x14ac:dyDescent="0.2">
      <c r="A397" s="56" t="s">
        <v>44</v>
      </c>
      <c r="B397" s="56" t="s">
        <v>45</v>
      </c>
      <c r="C397" s="57" t="s">
        <v>546</v>
      </c>
      <c r="D397" s="58">
        <v>2.95</v>
      </c>
      <c r="E397" s="58" t="s">
        <v>11</v>
      </c>
      <c r="F397" s="59" t="str">
        <f t="shared" si="30"/>
        <v>0011</v>
      </c>
      <c r="G397" s="60"/>
      <c r="H397" s="61">
        <v>6048</v>
      </c>
      <c r="I397" s="61">
        <v>6048</v>
      </c>
      <c r="J397" s="62">
        <f t="shared" si="31"/>
        <v>17841.600000000002</v>
      </c>
      <c r="K397" s="62">
        <f t="shared" si="32"/>
        <v>0</v>
      </c>
      <c r="L397" s="62">
        <f t="shared" si="33"/>
        <v>0</v>
      </c>
      <c r="M397" s="63">
        <f t="shared" si="34"/>
        <v>0</v>
      </c>
    </row>
    <row r="398" spans="1:13" ht="12.75" hidden="1" x14ac:dyDescent="0.2">
      <c r="A398" s="56" t="s">
        <v>47</v>
      </c>
      <c r="B398" s="56" t="s">
        <v>48</v>
      </c>
      <c r="C398" s="57" t="s">
        <v>550</v>
      </c>
      <c r="D398" s="58">
        <v>21.87</v>
      </c>
      <c r="E398" s="58" t="s">
        <v>11</v>
      </c>
      <c r="F398" s="59" t="str">
        <f t="shared" si="30"/>
        <v>0011</v>
      </c>
      <c r="G398" s="60"/>
      <c r="H398" s="61">
        <v>3600</v>
      </c>
      <c r="I398" s="61">
        <v>3600</v>
      </c>
      <c r="J398" s="62">
        <f t="shared" si="31"/>
        <v>78732</v>
      </c>
      <c r="K398" s="62">
        <f t="shared" si="32"/>
        <v>0</v>
      </c>
      <c r="L398" s="62">
        <f t="shared" si="33"/>
        <v>0</v>
      </c>
      <c r="M398" s="63">
        <f t="shared" si="34"/>
        <v>0</v>
      </c>
    </row>
    <row r="399" spans="1:13" ht="12.75" hidden="1" x14ac:dyDescent="0.2">
      <c r="A399" s="56" t="s">
        <v>49</v>
      </c>
      <c r="B399" s="56" t="s">
        <v>50</v>
      </c>
      <c r="C399" s="57" t="s">
        <v>556</v>
      </c>
      <c r="D399" s="58">
        <v>21.81</v>
      </c>
      <c r="E399" s="58" t="s">
        <v>11</v>
      </c>
      <c r="F399" s="59" t="str">
        <f t="shared" si="30"/>
        <v>0011</v>
      </c>
      <c r="G399" s="60"/>
      <c r="H399" s="61">
        <v>2880</v>
      </c>
      <c r="I399" s="61">
        <v>2880</v>
      </c>
      <c r="J399" s="62">
        <f t="shared" si="31"/>
        <v>62812.799999999996</v>
      </c>
      <c r="K399" s="62">
        <f t="shared" si="32"/>
        <v>0</v>
      </c>
      <c r="L399" s="62">
        <f t="shared" si="33"/>
        <v>0</v>
      </c>
      <c r="M399" s="63">
        <f t="shared" si="34"/>
        <v>0</v>
      </c>
    </row>
    <row r="400" spans="1:13" ht="12.75" hidden="1" x14ac:dyDescent="0.2">
      <c r="A400" s="56" t="s">
        <v>270</v>
      </c>
      <c r="B400" s="56" t="s">
        <v>271</v>
      </c>
      <c r="C400" s="57" t="s">
        <v>568</v>
      </c>
      <c r="D400" s="58">
        <v>12.34</v>
      </c>
      <c r="E400" s="58" t="s">
        <v>11</v>
      </c>
      <c r="F400" s="59" t="str">
        <f t="shared" si="30"/>
        <v>0011</v>
      </c>
      <c r="G400" s="60"/>
      <c r="H400" s="61">
        <v>218</v>
      </c>
      <c r="I400" s="61">
        <v>218</v>
      </c>
      <c r="J400" s="62">
        <f t="shared" si="31"/>
        <v>2690.12</v>
      </c>
      <c r="K400" s="62">
        <f t="shared" si="32"/>
        <v>0</v>
      </c>
      <c r="L400" s="62">
        <f t="shared" si="33"/>
        <v>0</v>
      </c>
      <c r="M400" s="63">
        <f t="shared" si="34"/>
        <v>0</v>
      </c>
    </row>
    <row r="401" spans="1:13" ht="12.75" hidden="1" x14ac:dyDescent="0.2">
      <c r="A401" s="56" t="s">
        <v>270</v>
      </c>
      <c r="B401" s="56" t="s">
        <v>271</v>
      </c>
      <c r="C401" s="57" t="s">
        <v>569</v>
      </c>
      <c r="D401" s="58">
        <v>12.34</v>
      </c>
      <c r="E401" s="58" t="s">
        <v>11</v>
      </c>
      <c r="F401" s="59" t="str">
        <f t="shared" si="30"/>
        <v>0011</v>
      </c>
      <c r="G401" s="60"/>
      <c r="H401" s="61">
        <v>576</v>
      </c>
      <c r="I401" s="61">
        <v>576</v>
      </c>
      <c r="J401" s="62">
        <f t="shared" si="31"/>
        <v>7107.84</v>
      </c>
      <c r="K401" s="62">
        <f t="shared" si="32"/>
        <v>0</v>
      </c>
      <c r="L401" s="62">
        <f t="shared" si="33"/>
        <v>0</v>
      </c>
      <c r="M401" s="63">
        <f t="shared" si="34"/>
        <v>0</v>
      </c>
    </row>
    <row r="402" spans="1:13" ht="12.75" hidden="1" x14ac:dyDescent="0.2">
      <c r="A402" s="56" t="s">
        <v>126</v>
      </c>
      <c r="B402" s="56" t="s">
        <v>127</v>
      </c>
      <c r="C402" s="57" t="s">
        <v>571</v>
      </c>
      <c r="D402" s="58">
        <v>3.03</v>
      </c>
      <c r="E402" s="58" t="s">
        <v>11</v>
      </c>
      <c r="F402" s="59" t="str">
        <f t="shared" si="30"/>
        <v>0011</v>
      </c>
      <c r="G402" s="60"/>
      <c r="H402" s="61">
        <v>6048</v>
      </c>
      <c r="I402" s="61">
        <v>6048</v>
      </c>
      <c r="J402" s="62">
        <f t="shared" si="31"/>
        <v>18325.439999999999</v>
      </c>
      <c r="K402" s="62">
        <f t="shared" si="32"/>
        <v>0</v>
      </c>
      <c r="L402" s="62">
        <f t="shared" si="33"/>
        <v>0</v>
      </c>
      <c r="M402" s="63">
        <f t="shared" si="34"/>
        <v>0</v>
      </c>
    </row>
    <row r="403" spans="1:13" ht="12.75" hidden="1" x14ac:dyDescent="0.2">
      <c r="A403" s="56" t="s">
        <v>131</v>
      </c>
      <c r="B403" s="56" t="s">
        <v>130</v>
      </c>
      <c r="C403" s="57" t="s">
        <v>578</v>
      </c>
      <c r="D403" s="58">
        <v>10.210000000000001</v>
      </c>
      <c r="E403" s="58" t="s">
        <v>11</v>
      </c>
      <c r="F403" s="59" t="str">
        <f t="shared" si="30"/>
        <v>0011</v>
      </c>
      <c r="G403" s="60"/>
      <c r="H403" s="61">
        <v>1056</v>
      </c>
      <c r="I403" s="61">
        <v>1056</v>
      </c>
      <c r="J403" s="62">
        <f t="shared" si="31"/>
        <v>10781.76</v>
      </c>
      <c r="K403" s="62">
        <f t="shared" si="32"/>
        <v>0</v>
      </c>
      <c r="L403" s="62">
        <f t="shared" si="33"/>
        <v>0</v>
      </c>
      <c r="M403" s="63">
        <f t="shared" si="34"/>
        <v>0</v>
      </c>
    </row>
    <row r="404" spans="1:13" ht="12.75" hidden="1" x14ac:dyDescent="0.2">
      <c r="A404" s="56" t="s">
        <v>133</v>
      </c>
      <c r="B404" s="56" t="s">
        <v>129</v>
      </c>
      <c r="C404" s="57" t="s">
        <v>586</v>
      </c>
      <c r="D404" s="58">
        <v>10.199999999999999</v>
      </c>
      <c r="E404" s="58" t="s">
        <v>11</v>
      </c>
      <c r="F404" s="59" t="str">
        <f t="shared" si="30"/>
        <v>0011</v>
      </c>
      <c r="G404" s="60"/>
      <c r="H404" s="61">
        <v>5808</v>
      </c>
      <c r="I404" s="61">
        <v>5808</v>
      </c>
      <c r="J404" s="62">
        <f t="shared" si="31"/>
        <v>59241.599999999999</v>
      </c>
      <c r="K404" s="62">
        <f t="shared" si="32"/>
        <v>0</v>
      </c>
      <c r="L404" s="62">
        <f t="shared" si="33"/>
        <v>0</v>
      </c>
      <c r="M404" s="63">
        <f t="shared" si="34"/>
        <v>0</v>
      </c>
    </row>
    <row r="405" spans="1:13" ht="12.75" hidden="1" x14ac:dyDescent="0.2">
      <c r="A405" s="56" t="s">
        <v>134</v>
      </c>
      <c r="B405" s="56" t="s">
        <v>135</v>
      </c>
      <c r="C405" s="57" t="s">
        <v>587</v>
      </c>
      <c r="D405" s="58">
        <v>19.7</v>
      </c>
      <c r="E405" s="58" t="s">
        <v>11</v>
      </c>
      <c r="F405" s="59" t="str">
        <f t="shared" si="30"/>
        <v>0011</v>
      </c>
      <c r="G405" s="60"/>
      <c r="H405" s="61">
        <v>3840</v>
      </c>
      <c r="I405" s="61">
        <v>3840</v>
      </c>
      <c r="J405" s="62">
        <f t="shared" si="31"/>
        <v>75648</v>
      </c>
      <c r="K405" s="62">
        <f t="shared" si="32"/>
        <v>0</v>
      </c>
      <c r="L405" s="62">
        <f t="shared" si="33"/>
        <v>0</v>
      </c>
      <c r="M405" s="63">
        <f t="shared" si="34"/>
        <v>0</v>
      </c>
    </row>
    <row r="406" spans="1:13" ht="12.75" hidden="1" x14ac:dyDescent="0.2">
      <c r="A406" s="56" t="s">
        <v>284</v>
      </c>
      <c r="B406" s="56" t="s">
        <v>285</v>
      </c>
      <c r="C406" s="57" t="s">
        <v>589</v>
      </c>
      <c r="D406" s="58">
        <v>19.5</v>
      </c>
      <c r="E406" s="58" t="s">
        <v>11</v>
      </c>
      <c r="F406" s="59" t="str">
        <f t="shared" si="30"/>
        <v>0011</v>
      </c>
      <c r="G406" s="60"/>
      <c r="H406" s="61">
        <v>2160</v>
      </c>
      <c r="I406" s="61">
        <v>2160</v>
      </c>
      <c r="J406" s="62">
        <f t="shared" si="31"/>
        <v>42120</v>
      </c>
      <c r="K406" s="62">
        <f t="shared" si="32"/>
        <v>0</v>
      </c>
      <c r="L406" s="62">
        <f t="shared" si="33"/>
        <v>0</v>
      </c>
      <c r="M406" s="63">
        <f t="shared" si="34"/>
        <v>0</v>
      </c>
    </row>
    <row r="407" spans="1:13" ht="12.75" hidden="1" x14ac:dyDescent="0.2">
      <c r="A407" s="56" t="s">
        <v>287</v>
      </c>
      <c r="B407" s="56" t="s">
        <v>288</v>
      </c>
      <c r="C407" s="57" t="s">
        <v>594</v>
      </c>
      <c r="D407" s="58">
        <v>4.0599999999999996</v>
      </c>
      <c r="E407" s="58" t="s">
        <v>11</v>
      </c>
      <c r="F407" s="59" t="str">
        <f t="shared" si="30"/>
        <v>0011</v>
      </c>
      <c r="G407" s="60"/>
      <c r="H407" s="61">
        <v>3696</v>
      </c>
      <c r="I407" s="61">
        <v>3696</v>
      </c>
      <c r="J407" s="62">
        <f t="shared" si="31"/>
        <v>15005.759999999998</v>
      </c>
      <c r="K407" s="62">
        <f t="shared" si="32"/>
        <v>0</v>
      </c>
      <c r="L407" s="62">
        <f t="shared" si="33"/>
        <v>0</v>
      </c>
      <c r="M407" s="63">
        <f t="shared" si="34"/>
        <v>0</v>
      </c>
    </row>
    <row r="408" spans="1:13" ht="12.75" hidden="1" x14ac:dyDescent="0.2">
      <c r="A408" s="56" t="s">
        <v>602</v>
      </c>
      <c r="B408" s="56" t="s">
        <v>601</v>
      </c>
      <c r="C408" s="57"/>
      <c r="D408" s="58">
        <v>0</v>
      </c>
      <c r="E408" s="58" t="s">
        <v>11</v>
      </c>
      <c r="F408" s="59" t="str">
        <f t="shared" si="30"/>
        <v>0011</v>
      </c>
      <c r="G408" s="60"/>
      <c r="H408" s="61">
        <v>0</v>
      </c>
      <c r="I408" s="61">
        <v>7670</v>
      </c>
      <c r="J408" s="62">
        <f t="shared" si="31"/>
        <v>0</v>
      </c>
      <c r="K408" s="62">
        <f t="shared" si="32"/>
        <v>-7670</v>
      </c>
      <c r="L408" s="62">
        <f t="shared" si="33"/>
        <v>-7670</v>
      </c>
      <c r="M408" s="63">
        <f t="shared" si="34"/>
        <v>0</v>
      </c>
    </row>
    <row r="409" spans="1:13" ht="12.75" hidden="1" x14ac:dyDescent="0.2">
      <c r="A409" s="56" t="s">
        <v>603</v>
      </c>
      <c r="B409" s="56" t="s">
        <v>604</v>
      </c>
      <c r="C409" s="57"/>
      <c r="D409" s="58">
        <v>0</v>
      </c>
      <c r="E409" s="58" t="s">
        <v>11</v>
      </c>
      <c r="F409" s="59" t="str">
        <f t="shared" si="30"/>
        <v>0011</v>
      </c>
      <c r="G409" s="60"/>
      <c r="H409" s="61">
        <v>0</v>
      </c>
      <c r="I409" s="61">
        <v>520</v>
      </c>
      <c r="J409" s="62">
        <f t="shared" si="31"/>
        <v>0</v>
      </c>
      <c r="K409" s="62">
        <f t="shared" si="32"/>
        <v>-520</v>
      </c>
      <c r="L409" s="62">
        <f t="shared" si="33"/>
        <v>-520</v>
      </c>
      <c r="M409" s="63">
        <f t="shared" si="34"/>
        <v>0</v>
      </c>
    </row>
    <row r="410" spans="1:13" ht="12.75" hidden="1" x14ac:dyDescent="0.2">
      <c r="A410" s="65" t="s">
        <v>619</v>
      </c>
      <c r="B410" s="65" t="s">
        <v>620</v>
      </c>
      <c r="C410" s="66"/>
      <c r="D410" s="67">
        <v>0</v>
      </c>
      <c r="E410" s="67" t="s">
        <v>11</v>
      </c>
      <c r="F410" s="68" t="str">
        <f t="shared" si="30"/>
        <v>0011</v>
      </c>
      <c r="G410" s="69"/>
      <c r="H410" s="70">
        <v>24</v>
      </c>
      <c r="I410" s="70">
        <v>0</v>
      </c>
      <c r="J410" s="62">
        <f t="shared" si="31"/>
        <v>0</v>
      </c>
      <c r="K410" s="62">
        <f t="shared" si="32"/>
        <v>24</v>
      </c>
      <c r="L410" s="62">
        <f t="shared" si="33"/>
        <v>24</v>
      </c>
      <c r="M410" s="63">
        <f t="shared" si="34"/>
        <v>0</v>
      </c>
    </row>
    <row r="411" spans="1:13" ht="12.75" hidden="1" x14ac:dyDescent="0.2">
      <c r="A411" s="65" t="s">
        <v>148</v>
      </c>
      <c r="B411" s="65" t="s">
        <v>149</v>
      </c>
      <c r="C411" s="66"/>
      <c r="D411" s="67">
        <v>0</v>
      </c>
      <c r="E411" s="67" t="s">
        <v>11</v>
      </c>
      <c r="F411" s="68" t="str">
        <f t="shared" si="30"/>
        <v>0011</v>
      </c>
      <c r="G411" s="69"/>
      <c r="H411" s="70">
        <v>2</v>
      </c>
      <c r="I411" s="70">
        <v>0</v>
      </c>
      <c r="J411" s="62">
        <f t="shared" si="31"/>
        <v>0</v>
      </c>
      <c r="K411" s="62">
        <f t="shared" si="32"/>
        <v>2</v>
      </c>
      <c r="L411" s="62">
        <f t="shared" si="33"/>
        <v>2</v>
      </c>
      <c r="M411" s="63">
        <f t="shared" si="34"/>
        <v>0</v>
      </c>
    </row>
    <row r="412" spans="1:13" ht="12.75" hidden="1" x14ac:dyDescent="0.2">
      <c r="A412" s="65" t="s">
        <v>150</v>
      </c>
      <c r="B412" s="65" t="s">
        <v>151</v>
      </c>
      <c r="C412" s="66"/>
      <c r="D412" s="67">
        <v>0</v>
      </c>
      <c r="E412" s="67" t="s">
        <v>11</v>
      </c>
      <c r="F412" s="68" t="str">
        <f t="shared" si="30"/>
        <v>0011</v>
      </c>
      <c r="G412" s="69"/>
      <c r="H412" s="70">
        <v>3</v>
      </c>
      <c r="I412" s="70">
        <v>0</v>
      </c>
      <c r="J412" s="62">
        <f t="shared" si="31"/>
        <v>0</v>
      </c>
      <c r="K412" s="62">
        <f t="shared" si="32"/>
        <v>3</v>
      </c>
      <c r="L412" s="62">
        <f t="shared" si="33"/>
        <v>3</v>
      </c>
      <c r="M412" s="63">
        <f t="shared" si="34"/>
        <v>0</v>
      </c>
    </row>
    <row r="413" spans="1:13" ht="12.75" hidden="1" x14ac:dyDescent="0.2">
      <c r="A413" s="56"/>
      <c r="B413" s="56"/>
      <c r="C413" s="57"/>
      <c r="D413" s="58"/>
      <c r="E413" s="58"/>
      <c r="F413" s="59"/>
      <c r="G413" s="60"/>
      <c r="H413" s="61">
        <f t="shared" ref="H413:M413" si="35">SUM(H9:H412)</f>
        <v>655546</v>
      </c>
      <c r="I413" s="61">
        <f t="shared" si="35"/>
        <v>683849</v>
      </c>
      <c r="J413" s="62">
        <f t="shared" si="35"/>
        <v>10992115.389999993</v>
      </c>
      <c r="K413" s="62">
        <f t="shared" si="35"/>
        <v>-28303</v>
      </c>
      <c r="L413" s="62">
        <f t="shared" si="35"/>
        <v>-28303</v>
      </c>
      <c r="M413" s="63">
        <f t="shared" si="35"/>
        <v>-172161.66000000032</v>
      </c>
    </row>
    <row r="416" spans="1:13" x14ac:dyDescent="0.25">
      <c r="K416" s="71"/>
      <c r="L416" s="71"/>
      <c r="M416" s="72"/>
    </row>
  </sheetData>
  <autoFilter ref="A8:WVR413" xr:uid="{00000000-0001-0000-0900-000000000000}">
    <filterColumn colId="1">
      <filters>
        <filter val="DELTAQ FRUTOS SILVESTRES&amp;ESPUMANTE 10CAP"/>
      </filters>
    </filterColumn>
  </autoFilter>
  <mergeCells count="12">
    <mergeCell ref="G6:G7"/>
    <mergeCell ref="K6:L6"/>
    <mergeCell ref="A6:A7"/>
    <mergeCell ref="B6:B7"/>
    <mergeCell ref="C6:C7"/>
    <mergeCell ref="E6:E7"/>
    <mergeCell ref="F6:F7"/>
    <mergeCell ref="A1:B3"/>
    <mergeCell ref="C1:M1"/>
    <mergeCell ref="C2:M2"/>
    <mergeCell ref="C3:I3"/>
    <mergeCell ref="L5:M5"/>
  </mergeCells>
  <conditionalFormatting sqref="A1 A5:B5 A133:A65514">
    <cfRule type="cellIs" dxfId="28" priority="9" operator="greaterThan">
      <formula>1</formula>
    </cfRule>
  </conditionalFormatting>
  <conditionalFormatting sqref="A6:A8">
    <cfRule type="cellIs" dxfId="27" priority="2" operator="greaterThan">
      <formula>1</formula>
    </cfRule>
  </conditionalFormatting>
  <conditionalFormatting sqref="A4:B4 L4:M4">
    <cfRule type="cellIs" dxfId="26" priority="10" operator="equal">
      <formula>12</formula>
    </cfRule>
    <cfRule type="cellIs" dxfId="25" priority="11" operator="equal">
      <formula>17</formula>
    </cfRule>
    <cfRule type="cellIs" dxfId="24" priority="12" operator="equal">
      <formula>5</formula>
    </cfRule>
  </conditionalFormatting>
  <conditionalFormatting sqref="C4:G5 C6 E6:G6 D6:D7 C8:G8 C133:G65514">
    <cfRule type="cellIs" dxfId="23" priority="8" operator="greaterThanOrEqual">
      <formula>0.01</formula>
    </cfRule>
  </conditionalFormatting>
  <conditionalFormatting sqref="K9:L132">
    <cfRule type="cellIs" dxfId="22" priority="5" operator="equal">
      <formula>0</formula>
    </cfRule>
  </conditionalFormatting>
  <conditionalFormatting sqref="M9:M133 J133">
    <cfRule type="cellIs" dxfId="21" priority="6" operator="greaterThanOrEqual">
      <formula>0</formula>
    </cfRule>
    <cfRule type="cellIs" dxfId="20" priority="7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VR124"/>
  <sheetViews>
    <sheetView topLeftCell="A30" zoomScaleNormal="100" workbookViewId="0">
      <selection activeCell="M54" sqref="M54"/>
    </sheetView>
  </sheetViews>
  <sheetFormatPr defaultColWidth="11.42578125" defaultRowHeight="15" x14ac:dyDescent="0.25"/>
  <cols>
    <col min="1" max="1" width="9.5703125" style="1" customWidth="1"/>
    <col min="2" max="2" width="50.7109375" style="2" customWidth="1"/>
    <col min="3" max="3" width="12.28515625" style="3" customWidth="1"/>
    <col min="4" max="4" width="8" style="4" customWidth="1"/>
    <col min="5" max="5" width="6.7109375" style="5" customWidth="1"/>
    <col min="6" max="6" width="12.7109375" style="4" customWidth="1"/>
    <col min="7" max="7" width="12.7109375" style="5" customWidth="1"/>
    <col min="8" max="8" width="20.7109375" style="6" customWidth="1"/>
    <col min="9" max="9" width="12.7109375" style="7" customWidth="1"/>
    <col min="10" max="10" width="12.7109375" style="5" hidden="1" customWidth="1"/>
    <col min="11" max="12" width="12.7109375" style="8" customWidth="1"/>
    <col min="13" max="13" width="12.7109375" style="5" customWidth="1"/>
    <col min="14" max="256" width="11.42578125" style="9"/>
    <col min="257" max="257" width="9.5703125" style="9" customWidth="1"/>
    <col min="258" max="258" width="50.7109375" style="9" customWidth="1"/>
    <col min="259" max="259" width="12.28515625" style="9" customWidth="1"/>
    <col min="260" max="260" width="8" style="9" customWidth="1"/>
    <col min="261" max="261" width="6.7109375" style="9" customWidth="1"/>
    <col min="262" max="263" width="12.7109375" style="9" customWidth="1"/>
    <col min="264" max="264" width="20.7109375" style="9" customWidth="1"/>
    <col min="265" max="265" width="12.7109375" style="9" customWidth="1"/>
    <col min="266" max="266" width="11.5703125" style="9" hidden="1" customWidth="1"/>
    <col min="267" max="269" width="12.7109375" style="9" customWidth="1"/>
    <col min="270" max="512" width="11.42578125" style="9"/>
    <col min="513" max="513" width="9.5703125" style="9" customWidth="1"/>
    <col min="514" max="514" width="50.7109375" style="9" customWidth="1"/>
    <col min="515" max="515" width="12.28515625" style="9" customWidth="1"/>
    <col min="516" max="516" width="8" style="9" customWidth="1"/>
    <col min="517" max="517" width="6.7109375" style="9" customWidth="1"/>
    <col min="518" max="519" width="12.7109375" style="9" customWidth="1"/>
    <col min="520" max="520" width="20.7109375" style="9" customWidth="1"/>
    <col min="521" max="521" width="12.7109375" style="9" customWidth="1"/>
    <col min="522" max="522" width="11.5703125" style="9" hidden="1" customWidth="1"/>
    <col min="523" max="525" width="12.7109375" style="9" customWidth="1"/>
    <col min="526" max="768" width="11.42578125" style="9"/>
    <col min="769" max="769" width="9.5703125" style="9" customWidth="1"/>
    <col min="770" max="770" width="50.7109375" style="9" customWidth="1"/>
    <col min="771" max="771" width="12.28515625" style="9" customWidth="1"/>
    <col min="772" max="772" width="8" style="9" customWidth="1"/>
    <col min="773" max="773" width="6.7109375" style="9" customWidth="1"/>
    <col min="774" max="775" width="12.7109375" style="9" customWidth="1"/>
    <col min="776" max="776" width="20.7109375" style="9" customWidth="1"/>
    <col min="777" max="777" width="12.7109375" style="9" customWidth="1"/>
    <col min="778" max="778" width="11.5703125" style="9" hidden="1" customWidth="1"/>
    <col min="779" max="781" width="12.7109375" style="9" customWidth="1"/>
    <col min="782" max="1024" width="11.42578125" style="9"/>
    <col min="1025" max="1025" width="9.5703125" style="9" customWidth="1"/>
    <col min="1026" max="1026" width="50.7109375" style="9" customWidth="1"/>
    <col min="1027" max="1027" width="12.28515625" style="9" customWidth="1"/>
    <col min="1028" max="1028" width="8" style="9" customWidth="1"/>
    <col min="1029" max="1029" width="6.7109375" style="9" customWidth="1"/>
    <col min="1030" max="1031" width="12.7109375" style="9" customWidth="1"/>
    <col min="1032" max="1032" width="20.7109375" style="9" customWidth="1"/>
    <col min="1033" max="1033" width="12.7109375" style="9" customWidth="1"/>
    <col min="1034" max="1034" width="11.5703125" style="9" hidden="1" customWidth="1"/>
    <col min="1035" max="1037" width="12.7109375" style="9" customWidth="1"/>
    <col min="1038" max="1280" width="11.42578125" style="9"/>
    <col min="1281" max="1281" width="9.5703125" style="9" customWidth="1"/>
    <col min="1282" max="1282" width="50.7109375" style="9" customWidth="1"/>
    <col min="1283" max="1283" width="12.28515625" style="9" customWidth="1"/>
    <col min="1284" max="1284" width="8" style="9" customWidth="1"/>
    <col min="1285" max="1285" width="6.7109375" style="9" customWidth="1"/>
    <col min="1286" max="1287" width="12.7109375" style="9" customWidth="1"/>
    <col min="1288" max="1288" width="20.7109375" style="9" customWidth="1"/>
    <col min="1289" max="1289" width="12.7109375" style="9" customWidth="1"/>
    <col min="1290" max="1290" width="11.5703125" style="9" hidden="1" customWidth="1"/>
    <col min="1291" max="1293" width="12.7109375" style="9" customWidth="1"/>
    <col min="1294" max="1536" width="11.42578125" style="9"/>
    <col min="1537" max="1537" width="9.5703125" style="9" customWidth="1"/>
    <col min="1538" max="1538" width="50.7109375" style="9" customWidth="1"/>
    <col min="1539" max="1539" width="12.28515625" style="9" customWidth="1"/>
    <col min="1540" max="1540" width="8" style="9" customWidth="1"/>
    <col min="1541" max="1541" width="6.7109375" style="9" customWidth="1"/>
    <col min="1542" max="1543" width="12.7109375" style="9" customWidth="1"/>
    <col min="1544" max="1544" width="20.7109375" style="9" customWidth="1"/>
    <col min="1545" max="1545" width="12.7109375" style="9" customWidth="1"/>
    <col min="1546" max="1546" width="11.5703125" style="9" hidden="1" customWidth="1"/>
    <col min="1547" max="1549" width="12.7109375" style="9" customWidth="1"/>
    <col min="1550" max="1792" width="11.42578125" style="9"/>
    <col min="1793" max="1793" width="9.5703125" style="9" customWidth="1"/>
    <col min="1794" max="1794" width="50.7109375" style="9" customWidth="1"/>
    <col min="1795" max="1795" width="12.28515625" style="9" customWidth="1"/>
    <col min="1796" max="1796" width="8" style="9" customWidth="1"/>
    <col min="1797" max="1797" width="6.7109375" style="9" customWidth="1"/>
    <col min="1798" max="1799" width="12.7109375" style="9" customWidth="1"/>
    <col min="1800" max="1800" width="20.7109375" style="9" customWidth="1"/>
    <col min="1801" max="1801" width="12.7109375" style="9" customWidth="1"/>
    <col min="1802" max="1802" width="11.5703125" style="9" hidden="1" customWidth="1"/>
    <col min="1803" max="1805" width="12.7109375" style="9" customWidth="1"/>
    <col min="1806" max="2048" width="11.42578125" style="9"/>
    <col min="2049" max="2049" width="9.5703125" style="9" customWidth="1"/>
    <col min="2050" max="2050" width="50.7109375" style="9" customWidth="1"/>
    <col min="2051" max="2051" width="12.28515625" style="9" customWidth="1"/>
    <col min="2052" max="2052" width="8" style="9" customWidth="1"/>
    <col min="2053" max="2053" width="6.7109375" style="9" customWidth="1"/>
    <col min="2054" max="2055" width="12.7109375" style="9" customWidth="1"/>
    <col min="2056" max="2056" width="20.7109375" style="9" customWidth="1"/>
    <col min="2057" max="2057" width="12.7109375" style="9" customWidth="1"/>
    <col min="2058" max="2058" width="11.5703125" style="9" hidden="1" customWidth="1"/>
    <col min="2059" max="2061" width="12.7109375" style="9" customWidth="1"/>
    <col min="2062" max="2304" width="11.42578125" style="9"/>
    <col min="2305" max="2305" width="9.5703125" style="9" customWidth="1"/>
    <col min="2306" max="2306" width="50.7109375" style="9" customWidth="1"/>
    <col min="2307" max="2307" width="12.28515625" style="9" customWidth="1"/>
    <col min="2308" max="2308" width="8" style="9" customWidth="1"/>
    <col min="2309" max="2309" width="6.7109375" style="9" customWidth="1"/>
    <col min="2310" max="2311" width="12.7109375" style="9" customWidth="1"/>
    <col min="2312" max="2312" width="20.7109375" style="9" customWidth="1"/>
    <col min="2313" max="2313" width="12.7109375" style="9" customWidth="1"/>
    <col min="2314" max="2314" width="11.5703125" style="9" hidden="1" customWidth="1"/>
    <col min="2315" max="2317" width="12.7109375" style="9" customWidth="1"/>
    <col min="2318" max="2560" width="11.42578125" style="9"/>
    <col min="2561" max="2561" width="9.5703125" style="9" customWidth="1"/>
    <col min="2562" max="2562" width="50.7109375" style="9" customWidth="1"/>
    <col min="2563" max="2563" width="12.28515625" style="9" customWidth="1"/>
    <col min="2564" max="2564" width="8" style="9" customWidth="1"/>
    <col min="2565" max="2565" width="6.7109375" style="9" customWidth="1"/>
    <col min="2566" max="2567" width="12.7109375" style="9" customWidth="1"/>
    <col min="2568" max="2568" width="20.7109375" style="9" customWidth="1"/>
    <col min="2569" max="2569" width="12.7109375" style="9" customWidth="1"/>
    <col min="2570" max="2570" width="11.5703125" style="9" hidden="1" customWidth="1"/>
    <col min="2571" max="2573" width="12.7109375" style="9" customWidth="1"/>
    <col min="2574" max="2816" width="11.42578125" style="9"/>
    <col min="2817" max="2817" width="9.5703125" style="9" customWidth="1"/>
    <col min="2818" max="2818" width="50.7109375" style="9" customWidth="1"/>
    <col min="2819" max="2819" width="12.28515625" style="9" customWidth="1"/>
    <col min="2820" max="2820" width="8" style="9" customWidth="1"/>
    <col min="2821" max="2821" width="6.7109375" style="9" customWidth="1"/>
    <col min="2822" max="2823" width="12.7109375" style="9" customWidth="1"/>
    <col min="2824" max="2824" width="20.7109375" style="9" customWidth="1"/>
    <col min="2825" max="2825" width="12.7109375" style="9" customWidth="1"/>
    <col min="2826" max="2826" width="11.5703125" style="9" hidden="1" customWidth="1"/>
    <col min="2827" max="2829" width="12.7109375" style="9" customWidth="1"/>
    <col min="2830" max="3072" width="11.42578125" style="9"/>
    <col min="3073" max="3073" width="9.5703125" style="9" customWidth="1"/>
    <col min="3074" max="3074" width="50.7109375" style="9" customWidth="1"/>
    <col min="3075" max="3075" width="12.28515625" style="9" customWidth="1"/>
    <col min="3076" max="3076" width="8" style="9" customWidth="1"/>
    <col min="3077" max="3077" width="6.7109375" style="9" customWidth="1"/>
    <col min="3078" max="3079" width="12.7109375" style="9" customWidth="1"/>
    <col min="3080" max="3080" width="20.7109375" style="9" customWidth="1"/>
    <col min="3081" max="3081" width="12.7109375" style="9" customWidth="1"/>
    <col min="3082" max="3082" width="11.5703125" style="9" hidden="1" customWidth="1"/>
    <col min="3083" max="3085" width="12.7109375" style="9" customWidth="1"/>
    <col min="3086" max="3328" width="11.42578125" style="9"/>
    <col min="3329" max="3329" width="9.5703125" style="9" customWidth="1"/>
    <col min="3330" max="3330" width="50.7109375" style="9" customWidth="1"/>
    <col min="3331" max="3331" width="12.28515625" style="9" customWidth="1"/>
    <col min="3332" max="3332" width="8" style="9" customWidth="1"/>
    <col min="3333" max="3333" width="6.7109375" style="9" customWidth="1"/>
    <col min="3334" max="3335" width="12.7109375" style="9" customWidth="1"/>
    <col min="3336" max="3336" width="20.7109375" style="9" customWidth="1"/>
    <col min="3337" max="3337" width="12.7109375" style="9" customWidth="1"/>
    <col min="3338" max="3338" width="11.5703125" style="9" hidden="1" customWidth="1"/>
    <col min="3339" max="3341" width="12.7109375" style="9" customWidth="1"/>
    <col min="3342" max="3584" width="11.42578125" style="9"/>
    <col min="3585" max="3585" width="9.5703125" style="9" customWidth="1"/>
    <col min="3586" max="3586" width="50.7109375" style="9" customWidth="1"/>
    <col min="3587" max="3587" width="12.28515625" style="9" customWidth="1"/>
    <col min="3588" max="3588" width="8" style="9" customWidth="1"/>
    <col min="3589" max="3589" width="6.7109375" style="9" customWidth="1"/>
    <col min="3590" max="3591" width="12.7109375" style="9" customWidth="1"/>
    <col min="3592" max="3592" width="20.7109375" style="9" customWidth="1"/>
    <col min="3593" max="3593" width="12.7109375" style="9" customWidth="1"/>
    <col min="3594" max="3594" width="11.5703125" style="9" hidden="1" customWidth="1"/>
    <col min="3595" max="3597" width="12.7109375" style="9" customWidth="1"/>
    <col min="3598" max="3840" width="11.42578125" style="9"/>
    <col min="3841" max="3841" width="9.5703125" style="9" customWidth="1"/>
    <col min="3842" max="3842" width="50.7109375" style="9" customWidth="1"/>
    <col min="3843" max="3843" width="12.28515625" style="9" customWidth="1"/>
    <col min="3844" max="3844" width="8" style="9" customWidth="1"/>
    <col min="3845" max="3845" width="6.7109375" style="9" customWidth="1"/>
    <col min="3846" max="3847" width="12.7109375" style="9" customWidth="1"/>
    <col min="3848" max="3848" width="20.7109375" style="9" customWidth="1"/>
    <col min="3849" max="3849" width="12.7109375" style="9" customWidth="1"/>
    <col min="3850" max="3850" width="11.5703125" style="9" hidden="1" customWidth="1"/>
    <col min="3851" max="3853" width="12.7109375" style="9" customWidth="1"/>
    <col min="3854" max="4096" width="11.42578125" style="9"/>
    <col min="4097" max="4097" width="9.5703125" style="9" customWidth="1"/>
    <col min="4098" max="4098" width="50.7109375" style="9" customWidth="1"/>
    <col min="4099" max="4099" width="12.28515625" style="9" customWidth="1"/>
    <col min="4100" max="4100" width="8" style="9" customWidth="1"/>
    <col min="4101" max="4101" width="6.7109375" style="9" customWidth="1"/>
    <col min="4102" max="4103" width="12.7109375" style="9" customWidth="1"/>
    <col min="4104" max="4104" width="20.7109375" style="9" customWidth="1"/>
    <col min="4105" max="4105" width="12.7109375" style="9" customWidth="1"/>
    <col min="4106" max="4106" width="11.5703125" style="9" hidden="1" customWidth="1"/>
    <col min="4107" max="4109" width="12.7109375" style="9" customWidth="1"/>
    <col min="4110" max="4352" width="11.42578125" style="9"/>
    <col min="4353" max="4353" width="9.5703125" style="9" customWidth="1"/>
    <col min="4354" max="4354" width="50.7109375" style="9" customWidth="1"/>
    <col min="4355" max="4355" width="12.28515625" style="9" customWidth="1"/>
    <col min="4356" max="4356" width="8" style="9" customWidth="1"/>
    <col min="4357" max="4357" width="6.7109375" style="9" customWidth="1"/>
    <col min="4358" max="4359" width="12.7109375" style="9" customWidth="1"/>
    <col min="4360" max="4360" width="20.7109375" style="9" customWidth="1"/>
    <col min="4361" max="4361" width="12.7109375" style="9" customWidth="1"/>
    <col min="4362" max="4362" width="11.5703125" style="9" hidden="1" customWidth="1"/>
    <col min="4363" max="4365" width="12.7109375" style="9" customWidth="1"/>
    <col min="4366" max="4608" width="11.42578125" style="9"/>
    <col min="4609" max="4609" width="9.5703125" style="9" customWidth="1"/>
    <col min="4610" max="4610" width="50.7109375" style="9" customWidth="1"/>
    <col min="4611" max="4611" width="12.28515625" style="9" customWidth="1"/>
    <col min="4612" max="4612" width="8" style="9" customWidth="1"/>
    <col min="4613" max="4613" width="6.7109375" style="9" customWidth="1"/>
    <col min="4614" max="4615" width="12.7109375" style="9" customWidth="1"/>
    <col min="4616" max="4616" width="20.7109375" style="9" customWidth="1"/>
    <col min="4617" max="4617" width="12.7109375" style="9" customWidth="1"/>
    <col min="4618" max="4618" width="11.5703125" style="9" hidden="1" customWidth="1"/>
    <col min="4619" max="4621" width="12.7109375" style="9" customWidth="1"/>
    <col min="4622" max="4864" width="11.42578125" style="9"/>
    <col min="4865" max="4865" width="9.5703125" style="9" customWidth="1"/>
    <col min="4866" max="4866" width="50.7109375" style="9" customWidth="1"/>
    <col min="4867" max="4867" width="12.28515625" style="9" customWidth="1"/>
    <col min="4868" max="4868" width="8" style="9" customWidth="1"/>
    <col min="4869" max="4869" width="6.7109375" style="9" customWidth="1"/>
    <col min="4870" max="4871" width="12.7109375" style="9" customWidth="1"/>
    <col min="4872" max="4872" width="20.7109375" style="9" customWidth="1"/>
    <col min="4873" max="4873" width="12.7109375" style="9" customWidth="1"/>
    <col min="4874" max="4874" width="11.5703125" style="9" hidden="1" customWidth="1"/>
    <col min="4875" max="4877" width="12.7109375" style="9" customWidth="1"/>
    <col min="4878" max="5120" width="11.42578125" style="9"/>
    <col min="5121" max="5121" width="9.5703125" style="9" customWidth="1"/>
    <col min="5122" max="5122" width="50.7109375" style="9" customWidth="1"/>
    <col min="5123" max="5123" width="12.28515625" style="9" customWidth="1"/>
    <col min="5124" max="5124" width="8" style="9" customWidth="1"/>
    <col min="5125" max="5125" width="6.7109375" style="9" customWidth="1"/>
    <col min="5126" max="5127" width="12.7109375" style="9" customWidth="1"/>
    <col min="5128" max="5128" width="20.7109375" style="9" customWidth="1"/>
    <col min="5129" max="5129" width="12.7109375" style="9" customWidth="1"/>
    <col min="5130" max="5130" width="11.5703125" style="9" hidden="1" customWidth="1"/>
    <col min="5131" max="5133" width="12.7109375" style="9" customWidth="1"/>
    <col min="5134" max="5376" width="11.42578125" style="9"/>
    <col min="5377" max="5377" width="9.5703125" style="9" customWidth="1"/>
    <col min="5378" max="5378" width="50.7109375" style="9" customWidth="1"/>
    <col min="5379" max="5379" width="12.28515625" style="9" customWidth="1"/>
    <col min="5380" max="5380" width="8" style="9" customWidth="1"/>
    <col min="5381" max="5381" width="6.7109375" style="9" customWidth="1"/>
    <col min="5382" max="5383" width="12.7109375" style="9" customWidth="1"/>
    <col min="5384" max="5384" width="20.7109375" style="9" customWidth="1"/>
    <col min="5385" max="5385" width="12.7109375" style="9" customWidth="1"/>
    <col min="5386" max="5386" width="11.5703125" style="9" hidden="1" customWidth="1"/>
    <col min="5387" max="5389" width="12.7109375" style="9" customWidth="1"/>
    <col min="5390" max="5632" width="11.42578125" style="9"/>
    <col min="5633" max="5633" width="9.5703125" style="9" customWidth="1"/>
    <col min="5634" max="5634" width="50.7109375" style="9" customWidth="1"/>
    <col min="5635" max="5635" width="12.28515625" style="9" customWidth="1"/>
    <col min="5636" max="5636" width="8" style="9" customWidth="1"/>
    <col min="5637" max="5637" width="6.7109375" style="9" customWidth="1"/>
    <col min="5638" max="5639" width="12.7109375" style="9" customWidth="1"/>
    <col min="5640" max="5640" width="20.7109375" style="9" customWidth="1"/>
    <col min="5641" max="5641" width="12.7109375" style="9" customWidth="1"/>
    <col min="5642" max="5642" width="11.5703125" style="9" hidden="1" customWidth="1"/>
    <col min="5643" max="5645" width="12.7109375" style="9" customWidth="1"/>
    <col min="5646" max="5888" width="11.42578125" style="9"/>
    <col min="5889" max="5889" width="9.5703125" style="9" customWidth="1"/>
    <col min="5890" max="5890" width="50.7109375" style="9" customWidth="1"/>
    <col min="5891" max="5891" width="12.28515625" style="9" customWidth="1"/>
    <col min="5892" max="5892" width="8" style="9" customWidth="1"/>
    <col min="5893" max="5893" width="6.7109375" style="9" customWidth="1"/>
    <col min="5894" max="5895" width="12.7109375" style="9" customWidth="1"/>
    <col min="5896" max="5896" width="20.7109375" style="9" customWidth="1"/>
    <col min="5897" max="5897" width="12.7109375" style="9" customWidth="1"/>
    <col min="5898" max="5898" width="11.5703125" style="9" hidden="1" customWidth="1"/>
    <col min="5899" max="5901" width="12.7109375" style="9" customWidth="1"/>
    <col min="5902" max="6144" width="11.42578125" style="9"/>
    <col min="6145" max="6145" width="9.5703125" style="9" customWidth="1"/>
    <col min="6146" max="6146" width="50.7109375" style="9" customWidth="1"/>
    <col min="6147" max="6147" width="12.28515625" style="9" customWidth="1"/>
    <col min="6148" max="6148" width="8" style="9" customWidth="1"/>
    <col min="6149" max="6149" width="6.7109375" style="9" customWidth="1"/>
    <col min="6150" max="6151" width="12.7109375" style="9" customWidth="1"/>
    <col min="6152" max="6152" width="20.7109375" style="9" customWidth="1"/>
    <col min="6153" max="6153" width="12.7109375" style="9" customWidth="1"/>
    <col min="6154" max="6154" width="11.5703125" style="9" hidden="1" customWidth="1"/>
    <col min="6155" max="6157" width="12.7109375" style="9" customWidth="1"/>
    <col min="6158" max="6400" width="11.42578125" style="9"/>
    <col min="6401" max="6401" width="9.5703125" style="9" customWidth="1"/>
    <col min="6402" max="6402" width="50.7109375" style="9" customWidth="1"/>
    <col min="6403" max="6403" width="12.28515625" style="9" customWidth="1"/>
    <col min="6404" max="6404" width="8" style="9" customWidth="1"/>
    <col min="6405" max="6405" width="6.7109375" style="9" customWidth="1"/>
    <col min="6406" max="6407" width="12.7109375" style="9" customWidth="1"/>
    <col min="6408" max="6408" width="20.7109375" style="9" customWidth="1"/>
    <col min="6409" max="6409" width="12.7109375" style="9" customWidth="1"/>
    <col min="6410" max="6410" width="11.5703125" style="9" hidden="1" customWidth="1"/>
    <col min="6411" max="6413" width="12.7109375" style="9" customWidth="1"/>
    <col min="6414" max="6656" width="11.42578125" style="9"/>
    <col min="6657" max="6657" width="9.5703125" style="9" customWidth="1"/>
    <col min="6658" max="6658" width="50.7109375" style="9" customWidth="1"/>
    <col min="6659" max="6659" width="12.28515625" style="9" customWidth="1"/>
    <col min="6660" max="6660" width="8" style="9" customWidth="1"/>
    <col min="6661" max="6661" width="6.7109375" style="9" customWidth="1"/>
    <col min="6662" max="6663" width="12.7109375" style="9" customWidth="1"/>
    <col min="6664" max="6664" width="20.7109375" style="9" customWidth="1"/>
    <col min="6665" max="6665" width="12.7109375" style="9" customWidth="1"/>
    <col min="6666" max="6666" width="11.5703125" style="9" hidden="1" customWidth="1"/>
    <col min="6667" max="6669" width="12.7109375" style="9" customWidth="1"/>
    <col min="6670" max="6912" width="11.42578125" style="9"/>
    <col min="6913" max="6913" width="9.5703125" style="9" customWidth="1"/>
    <col min="6914" max="6914" width="50.7109375" style="9" customWidth="1"/>
    <col min="6915" max="6915" width="12.28515625" style="9" customWidth="1"/>
    <col min="6916" max="6916" width="8" style="9" customWidth="1"/>
    <col min="6917" max="6917" width="6.7109375" style="9" customWidth="1"/>
    <col min="6918" max="6919" width="12.7109375" style="9" customWidth="1"/>
    <col min="6920" max="6920" width="20.7109375" style="9" customWidth="1"/>
    <col min="6921" max="6921" width="12.7109375" style="9" customWidth="1"/>
    <col min="6922" max="6922" width="11.5703125" style="9" hidden="1" customWidth="1"/>
    <col min="6923" max="6925" width="12.7109375" style="9" customWidth="1"/>
    <col min="6926" max="7168" width="11.42578125" style="9"/>
    <col min="7169" max="7169" width="9.5703125" style="9" customWidth="1"/>
    <col min="7170" max="7170" width="50.7109375" style="9" customWidth="1"/>
    <col min="7171" max="7171" width="12.28515625" style="9" customWidth="1"/>
    <col min="7172" max="7172" width="8" style="9" customWidth="1"/>
    <col min="7173" max="7173" width="6.7109375" style="9" customWidth="1"/>
    <col min="7174" max="7175" width="12.7109375" style="9" customWidth="1"/>
    <col min="7176" max="7176" width="20.7109375" style="9" customWidth="1"/>
    <col min="7177" max="7177" width="12.7109375" style="9" customWidth="1"/>
    <col min="7178" max="7178" width="11.5703125" style="9" hidden="1" customWidth="1"/>
    <col min="7179" max="7181" width="12.7109375" style="9" customWidth="1"/>
    <col min="7182" max="7424" width="11.42578125" style="9"/>
    <col min="7425" max="7425" width="9.5703125" style="9" customWidth="1"/>
    <col min="7426" max="7426" width="50.7109375" style="9" customWidth="1"/>
    <col min="7427" max="7427" width="12.28515625" style="9" customWidth="1"/>
    <col min="7428" max="7428" width="8" style="9" customWidth="1"/>
    <col min="7429" max="7429" width="6.7109375" style="9" customWidth="1"/>
    <col min="7430" max="7431" width="12.7109375" style="9" customWidth="1"/>
    <col min="7432" max="7432" width="20.7109375" style="9" customWidth="1"/>
    <col min="7433" max="7433" width="12.7109375" style="9" customWidth="1"/>
    <col min="7434" max="7434" width="11.5703125" style="9" hidden="1" customWidth="1"/>
    <col min="7435" max="7437" width="12.7109375" style="9" customWidth="1"/>
    <col min="7438" max="7680" width="11.42578125" style="9"/>
    <col min="7681" max="7681" width="9.5703125" style="9" customWidth="1"/>
    <col min="7682" max="7682" width="50.7109375" style="9" customWidth="1"/>
    <col min="7683" max="7683" width="12.28515625" style="9" customWidth="1"/>
    <col min="7684" max="7684" width="8" style="9" customWidth="1"/>
    <col min="7685" max="7685" width="6.7109375" style="9" customWidth="1"/>
    <col min="7686" max="7687" width="12.7109375" style="9" customWidth="1"/>
    <col min="7688" max="7688" width="20.7109375" style="9" customWidth="1"/>
    <col min="7689" max="7689" width="12.7109375" style="9" customWidth="1"/>
    <col min="7690" max="7690" width="11.5703125" style="9" hidden="1" customWidth="1"/>
    <col min="7691" max="7693" width="12.7109375" style="9" customWidth="1"/>
    <col min="7694" max="7936" width="11.42578125" style="9"/>
    <col min="7937" max="7937" width="9.5703125" style="9" customWidth="1"/>
    <col min="7938" max="7938" width="50.7109375" style="9" customWidth="1"/>
    <col min="7939" max="7939" width="12.28515625" style="9" customWidth="1"/>
    <col min="7940" max="7940" width="8" style="9" customWidth="1"/>
    <col min="7941" max="7941" width="6.7109375" style="9" customWidth="1"/>
    <col min="7942" max="7943" width="12.7109375" style="9" customWidth="1"/>
    <col min="7944" max="7944" width="20.7109375" style="9" customWidth="1"/>
    <col min="7945" max="7945" width="12.7109375" style="9" customWidth="1"/>
    <col min="7946" max="7946" width="11.5703125" style="9" hidden="1" customWidth="1"/>
    <col min="7947" max="7949" width="12.7109375" style="9" customWidth="1"/>
    <col min="7950" max="8192" width="11.42578125" style="9"/>
    <col min="8193" max="8193" width="9.5703125" style="9" customWidth="1"/>
    <col min="8194" max="8194" width="50.7109375" style="9" customWidth="1"/>
    <col min="8195" max="8195" width="12.28515625" style="9" customWidth="1"/>
    <col min="8196" max="8196" width="8" style="9" customWidth="1"/>
    <col min="8197" max="8197" width="6.7109375" style="9" customWidth="1"/>
    <col min="8198" max="8199" width="12.7109375" style="9" customWidth="1"/>
    <col min="8200" max="8200" width="20.7109375" style="9" customWidth="1"/>
    <col min="8201" max="8201" width="12.7109375" style="9" customWidth="1"/>
    <col min="8202" max="8202" width="11.5703125" style="9" hidden="1" customWidth="1"/>
    <col min="8203" max="8205" width="12.7109375" style="9" customWidth="1"/>
    <col min="8206" max="8448" width="11.42578125" style="9"/>
    <col min="8449" max="8449" width="9.5703125" style="9" customWidth="1"/>
    <col min="8450" max="8450" width="50.7109375" style="9" customWidth="1"/>
    <col min="8451" max="8451" width="12.28515625" style="9" customWidth="1"/>
    <col min="8452" max="8452" width="8" style="9" customWidth="1"/>
    <col min="8453" max="8453" width="6.7109375" style="9" customWidth="1"/>
    <col min="8454" max="8455" width="12.7109375" style="9" customWidth="1"/>
    <col min="8456" max="8456" width="20.7109375" style="9" customWidth="1"/>
    <col min="8457" max="8457" width="12.7109375" style="9" customWidth="1"/>
    <col min="8458" max="8458" width="11.5703125" style="9" hidden="1" customWidth="1"/>
    <col min="8459" max="8461" width="12.7109375" style="9" customWidth="1"/>
    <col min="8462" max="8704" width="11.42578125" style="9"/>
    <col min="8705" max="8705" width="9.5703125" style="9" customWidth="1"/>
    <col min="8706" max="8706" width="50.7109375" style="9" customWidth="1"/>
    <col min="8707" max="8707" width="12.28515625" style="9" customWidth="1"/>
    <col min="8708" max="8708" width="8" style="9" customWidth="1"/>
    <col min="8709" max="8709" width="6.7109375" style="9" customWidth="1"/>
    <col min="8710" max="8711" width="12.7109375" style="9" customWidth="1"/>
    <col min="8712" max="8712" width="20.7109375" style="9" customWidth="1"/>
    <col min="8713" max="8713" width="12.7109375" style="9" customWidth="1"/>
    <col min="8714" max="8714" width="11.5703125" style="9" hidden="1" customWidth="1"/>
    <col min="8715" max="8717" width="12.7109375" style="9" customWidth="1"/>
    <col min="8718" max="8960" width="11.42578125" style="9"/>
    <col min="8961" max="8961" width="9.5703125" style="9" customWidth="1"/>
    <col min="8962" max="8962" width="50.7109375" style="9" customWidth="1"/>
    <col min="8963" max="8963" width="12.28515625" style="9" customWidth="1"/>
    <col min="8964" max="8964" width="8" style="9" customWidth="1"/>
    <col min="8965" max="8965" width="6.7109375" style="9" customWidth="1"/>
    <col min="8966" max="8967" width="12.7109375" style="9" customWidth="1"/>
    <col min="8968" max="8968" width="20.7109375" style="9" customWidth="1"/>
    <col min="8969" max="8969" width="12.7109375" style="9" customWidth="1"/>
    <col min="8970" max="8970" width="11.5703125" style="9" hidden="1" customWidth="1"/>
    <col min="8971" max="8973" width="12.7109375" style="9" customWidth="1"/>
    <col min="8974" max="9216" width="11.42578125" style="9"/>
    <col min="9217" max="9217" width="9.5703125" style="9" customWidth="1"/>
    <col min="9218" max="9218" width="50.7109375" style="9" customWidth="1"/>
    <col min="9219" max="9219" width="12.28515625" style="9" customWidth="1"/>
    <col min="9220" max="9220" width="8" style="9" customWidth="1"/>
    <col min="9221" max="9221" width="6.7109375" style="9" customWidth="1"/>
    <col min="9222" max="9223" width="12.7109375" style="9" customWidth="1"/>
    <col min="9224" max="9224" width="20.7109375" style="9" customWidth="1"/>
    <col min="9225" max="9225" width="12.7109375" style="9" customWidth="1"/>
    <col min="9226" max="9226" width="11.5703125" style="9" hidden="1" customWidth="1"/>
    <col min="9227" max="9229" width="12.7109375" style="9" customWidth="1"/>
    <col min="9230" max="9472" width="11.42578125" style="9"/>
    <col min="9473" max="9473" width="9.5703125" style="9" customWidth="1"/>
    <col min="9474" max="9474" width="50.7109375" style="9" customWidth="1"/>
    <col min="9475" max="9475" width="12.28515625" style="9" customWidth="1"/>
    <col min="9476" max="9476" width="8" style="9" customWidth="1"/>
    <col min="9477" max="9477" width="6.7109375" style="9" customWidth="1"/>
    <col min="9478" max="9479" width="12.7109375" style="9" customWidth="1"/>
    <col min="9480" max="9480" width="20.7109375" style="9" customWidth="1"/>
    <col min="9481" max="9481" width="12.7109375" style="9" customWidth="1"/>
    <col min="9482" max="9482" width="11.5703125" style="9" hidden="1" customWidth="1"/>
    <col min="9483" max="9485" width="12.7109375" style="9" customWidth="1"/>
    <col min="9486" max="9728" width="11.42578125" style="9"/>
    <col min="9729" max="9729" width="9.5703125" style="9" customWidth="1"/>
    <col min="9730" max="9730" width="50.7109375" style="9" customWidth="1"/>
    <col min="9731" max="9731" width="12.28515625" style="9" customWidth="1"/>
    <col min="9732" max="9732" width="8" style="9" customWidth="1"/>
    <col min="9733" max="9733" width="6.7109375" style="9" customWidth="1"/>
    <col min="9734" max="9735" width="12.7109375" style="9" customWidth="1"/>
    <col min="9736" max="9736" width="20.7109375" style="9" customWidth="1"/>
    <col min="9737" max="9737" width="12.7109375" style="9" customWidth="1"/>
    <col min="9738" max="9738" width="11.5703125" style="9" hidden="1" customWidth="1"/>
    <col min="9739" max="9741" width="12.7109375" style="9" customWidth="1"/>
    <col min="9742" max="9984" width="11.42578125" style="9"/>
    <col min="9985" max="9985" width="9.5703125" style="9" customWidth="1"/>
    <col min="9986" max="9986" width="50.7109375" style="9" customWidth="1"/>
    <col min="9987" max="9987" width="12.28515625" style="9" customWidth="1"/>
    <col min="9988" max="9988" width="8" style="9" customWidth="1"/>
    <col min="9989" max="9989" width="6.7109375" style="9" customWidth="1"/>
    <col min="9990" max="9991" width="12.7109375" style="9" customWidth="1"/>
    <col min="9992" max="9992" width="20.7109375" style="9" customWidth="1"/>
    <col min="9993" max="9993" width="12.7109375" style="9" customWidth="1"/>
    <col min="9994" max="9994" width="11.5703125" style="9" hidden="1" customWidth="1"/>
    <col min="9995" max="9997" width="12.7109375" style="9" customWidth="1"/>
    <col min="9998" max="10240" width="11.42578125" style="9"/>
    <col min="10241" max="10241" width="9.5703125" style="9" customWidth="1"/>
    <col min="10242" max="10242" width="50.7109375" style="9" customWidth="1"/>
    <col min="10243" max="10243" width="12.28515625" style="9" customWidth="1"/>
    <col min="10244" max="10244" width="8" style="9" customWidth="1"/>
    <col min="10245" max="10245" width="6.7109375" style="9" customWidth="1"/>
    <col min="10246" max="10247" width="12.7109375" style="9" customWidth="1"/>
    <col min="10248" max="10248" width="20.7109375" style="9" customWidth="1"/>
    <col min="10249" max="10249" width="12.7109375" style="9" customWidth="1"/>
    <col min="10250" max="10250" width="11.5703125" style="9" hidden="1" customWidth="1"/>
    <col min="10251" max="10253" width="12.7109375" style="9" customWidth="1"/>
    <col min="10254" max="10496" width="11.42578125" style="9"/>
    <col min="10497" max="10497" width="9.5703125" style="9" customWidth="1"/>
    <col min="10498" max="10498" width="50.7109375" style="9" customWidth="1"/>
    <col min="10499" max="10499" width="12.28515625" style="9" customWidth="1"/>
    <col min="10500" max="10500" width="8" style="9" customWidth="1"/>
    <col min="10501" max="10501" width="6.7109375" style="9" customWidth="1"/>
    <col min="10502" max="10503" width="12.7109375" style="9" customWidth="1"/>
    <col min="10504" max="10504" width="20.7109375" style="9" customWidth="1"/>
    <col min="10505" max="10505" width="12.7109375" style="9" customWidth="1"/>
    <col min="10506" max="10506" width="11.5703125" style="9" hidden="1" customWidth="1"/>
    <col min="10507" max="10509" width="12.7109375" style="9" customWidth="1"/>
    <col min="10510" max="10752" width="11.42578125" style="9"/>
    <col min="10753" max="10753" width="9.5703125" style="9" customWidth="1"/>
    <col min="10754" max="10754" width="50.7109375" style="9" customWidth="1"/>
    <col min="10755" max="10755" width="12.28515625" style="9" customWidth="1"/>
    <col min="10756" max="10756" width="8" style="9" customWidth="1"/>
    <col min="10757" max="10757" width="6.7109375" style="9" customWidth="1"/>
    <col min="10758" max="10759" width="12.7109375" style="9" customWidth="1"/>
    <col min="10760" max="10760" width="20.7109375" style="9" customWidth="1"/>
    <col min="10761" max="10761" width="12.7109375" style="9" customWidth="1"/>
    <col min="10762" max="10762" width="11.5703125" style="9" hidden="1" customWidth="1"/>
    <col min="10763" max="10765" width="12.7109375" style="9" customWidth="1"/>
    <col min="10766" max="11008" width="11.42578125" style="9"/>
    <col min="11009" max="11009" width="9.5703125" style="9" customWidth="1"/>
    <col min="11010" max="11010" width="50.7109375" style="9" customWidth="1"/>
    <col min="11011" max="11011" width="12.28515625" style="9" customWidth="1"/>
    <col min="11012" max="11012" width="8" style="9" customWidth="1"/>
    <col min="11013" max="11013" width="6.7109375" style="9" customWidth="1"/>
    <col min="11014" max="11015" width="12.7109375" style="9" customWidth="1"/>
    <col min="11016" max="11016" width="20.7109375" style="9" customWidth="1"/>
    <col min="11017" max="11017" width="12.7109375" style="9" customWidth="1"/>
    <col min="11018" max="11018" width="11.5703125" style="9" hidden="1" customWidth="1"/>
    <col min="11019" max="11021" width="12.7109375" style="9" customWidth="1"/>
    <col min="11022" max="11264" width="11.42578125" style="9"/>
    <col min="11265" max="11265" width="9.5703125" style="9" customWidth="1"/>
    <col min="11266" max="11266" width="50.7109375" style="9" customWidth="1"/>
    <col min="11267" max="11267" width="12.28515625" style="9" customWidth="1"/>
    <col min="11268" max="11268" width="8" style="9" customWidth="1"/>
    <col min="11269" max="11269" width="6.7109375" style="9" customWidth="1"/>
    <col min="11270" max="11271" width="12.7109375" style="9" customWidth="1"/>
    <col min="11272" max="11272" width="20.7109375" style="9" customWidth="1"/>
    <col min="11273" max="11273" width="12.7109375" style="9" customWidth="1"/>
    <col min="11274" max="11274" width="11.5703125" style="9" hidden="1" customWidth="1"/>
    <col min="11275" max="11277" width="12.7109375" style="9" customWidth="1"/>
    <col min="11278" max="11520" width="11.42578125" style="9"/>
    <col min="11521" max="11521" width="9.5703125" style="9" customWidth="1"/>
    <col min="11522" max="11522" width="50.7109375" style="9" customWidth="1"/>
    <col min="11523" max="11523" width="12.28515625" style="9" customWidth="1"/>
    <col min="11524" max="11524" width="8" style="9" customWidth="1"/>
    <col min="11525" max="11525" width="6.7109375" style="9" customWidth="1"/>
    <col min="11526" max="11527" width="12.7109375" style="9" customWidth="1"/>
    <col min="11528" max="11528" width="20.7109375" style="9" customWidth="1"/>
    <col min="11529" max="11529" width="12.7109375" style="9" customWidth="1"/>
    <col min="11530" max="11530" width="11.5703125" style="9" hidden="1" customWidth="1"/>
    <col min="11531" max="11533" width="12.7109375" style="9" customWidth="1"/>
    <col min="11534" max="11776" width="11.42578125" style="9"/>
    <col min="11777" max="11777" width="9.5703125" style="9" customWidth="1"/>
    <col min="11778" max="11778" width="50.7109375" style="9" customWidth="1"/>
    <col min="11779" max="11779" width="12.28515625" style="9" customWidth="1"/>
    <col min="11780" max="11780" width="8" style="9" customWidth="1"/>
    <col min="11781" max="11781" width="6.7109375" style="9" customWidth="1"/>
    <col min="11782" max="11783" width="12.7109375" style="9" customWidth="1"/>
    <col min="11784" max="11784" width="20.7109375" style="9" customWidth="1"/>
    <col min="11785" max="11785" width="12.7109375" style="9" customWidth="1"/>
    <col min="11786" max="11786" width="11.5703125" style="9" hidden="1" customWidth="1"/>
    <col min="11787" max="11789" width="12.7109375" style="9" customWidth="1"/>
    <col min="11790" max="12032" width="11.42578125" style="9"/>
    <col min="12033" max="12033" width="9.5703125" style="9" customWidth="1"/>
    <col min="12034" max="12034" width="50.7109375" style="9" customWidth="1"/>
    <col min="12035" max="12035" width="12.28515625" style="9" customWidth="1"/>
    <col min="12036" max="12036" width="8" style="9" customWidth="1"/>
    <col min="12037" max="12037" width="6.7109375" style="9" customWidth="1"/>
    <col min="12038" max="12039" width="12.7109375" style="9" customWidth="1"/>
    <col min="12040" max="12040" width="20.7109375" style="9" customWidth="1"/>
    <col min="12041" max="12041" width="12.7109375" style="9" customWidth="1"/>
    <col min="12042" max="12042" width="11.5703125" style="9" hidden="1" customWidth="1"/>
    <col min="12043" max="12045" width="12.7109375" style="9" customWidth="1"/>
    <col min="12046" max="12288" width="11.42578125" style="9"/>
    <col min="12289" max="12289" width="9.5703125" style="9" customWidth="1"/>
    <col min="12290" max="12290" width="50.7109375" style="9" customWidth="1"/>
    <col min="12291" max="12291" width="12.28515625" style="9" customWidth="1"/>
    <col min="12292" max="12292" width="8" style="9" customWidth="1"/>
    <col min="12293" max="12293" width="6.7109375" style="9" customWidth="1"/>
    <col min="12294" max="12295" width="12.7109375" style="9" customWidth="1"/>
    <col min="12296" max="12296" width="20.7109375" style="9" customWidth="1"/>
    <col min="12297" max="12297" width="12.7109375" style="9" customWidth="1"/>
    <col min="12298" max="12298" width="11.5703125" style="9" hidden="1" customWidth="1"/>
    <col min="12299" max="12301" width="12.7109375" style="9" customWidth="1"/>
    <col min="12302" max="12544" width="11.42578125" style="9"/>
    <col min="12545" max="12545" width="9.5703125" style="9" customWidth="1"/>
    <col min="12546" max="12546" width="50.7109375" style="9" customWidth="1"/>
    <col min="12547" max="12547" width="12.28515625" style="9" customWidth="1"/>
    <col min="12548" max="12548" width="8" style="9" customWidth="1"/>
    <col min="12549" max="12549" width="6.7109375" style="9" customWidth="1"/>
    <col min="12550" max="12551" width="12.7109375" style="9" customWidth="1"/>
    <col min="12552" max="12552" width="20.7109375" style="9" customWidth="1"/>
    <col min="12553" max="12553" width="12.7109375" style="9" customWidth="1"/>
    <col min="12554" max="12554" width="11.5703125" style="9" hidden="1" customWidth="1"/>
    <col min="12555" max="12557" width="12.7109375" style="9" customWidth="1"/>
    <col min="12558" max="12800" width="11.42578125" style="9"/>
    <col min="12801" max="12801" width="9.5703125" style="9" customWidth="1"/>
    <col min="12802" max="12802" width="50.7109375" style="9" customWidth="1"/>
    <col min="12803" max="12803" width="12.28515625" style="9" customWidth="1"/>
    <col min="12804" max="12804" width="8" style="9" customWidth="1"/>
    <col min="12805" max="12805" width="6.7109375" style="9" customWidth="1"/>
    <col min="12806" max="12807" width="12.7109375" style="9" customWidth="1"/>
    <col min="12808" max="12808" width="20.7109375" style="9" customWidth="1"/>
    <col min="12809" max="12809" width="12.7109375" style="9" customWidth="1"/>
    <col min="12810" max="12810" width="11.5703125" style="9" hidden="1" customWidth="1"/>
    <col min="12811" max="12813" width="12.7109375" style="9" customWidth="1"/>
    <col min="12814" max="13056" width="11.42578125" style="9"/>
    <col min="13057" max="13057" width="9.5703125" style="9" customWidth="1"/>
    <col min="13058" max="13058" width="50.7109375" style="9" customWidth="1"/>
    <col min="13059" max="13059" width="12.28515625" style="9" customWidth="1"/>
    <col min="13060" max="13060" width="8" style="9" customWidth="1"/>
    <col min="13061" max="13061" width="6.7109375" style="9" customWidth="1"/>
    <col min="13062" max="13063" width="12.7109375" style="9" customWidth="1"/>
    <col min="13064" max="13064" width="20.7109375" style="9" customWidth="1"/>
    <col min="13065" max="13065" width="12.7109375" style="9" customWidth="1"/>
    <col min="13066" max="13066" width="11.5703125" style="9" hidden="1" customWidth="1"/>
    <col min="13067" max="13069" width="12.7109375" style="9" customWidth="1"/>
    <col min="13070" max="13312" width="11.42578125" style="9"/>
    <col min="13313" max="13313" width="9.5703125" style="9" customWidth="1"/>
    <col min="13314" max="13314" width="50.7109375" style="9" customWidth="1"/>
    <col min="13315" max="13315" width="12.28515625" style="9" customWidth="1"/>
    <col min="13316" max="13316" width="8" style="9" customWidth="1"/>
    <col min="13317" max="13317" width="6.7109375" style="9" customWidth="1"/>
    <col min="13318" max="13319" width="12.7109375" style="9" customWidth="1"/>
    <col min="13320" max="13320" width="20.7109375" style="9" customWidth="1"/>
    <col min="13321" max="13321" width="12.7109375" style="9" customWidth="1"/>
    <col min="13322" max="13322" width="11.5703125" style="9" hidden="1" customWidth="1"/>
    <col min="13323" max="13325" width="12.7109375" style="9" customWidth="1"/>
    <col min="13326" max="13568" width="11.42578125" style="9"/>
    <col min="13569" max="13569" width="9.5703125" style="9" customWidth="1"/>
    <col min="13570" max="13570" width="50.7109375" style="9" customWidth="1"/>
    <col min="13571" max="13571" width="12.28515625" style="9" customWidth="1"/>
    <col min="13572" max="13572" width="8" style="9" customWidth="1"/>
    <col min="13573" max="13573" width="6.7109375" style="9" customWidth="1"/>
    <col min="13574" max="13575" width="12.7109375" style="9" customWidth="1"/>
    <col min="13576" max="13576" width="20.7109375" style="9" customWidth="1"/>
    <col min="13577" max="13577" width="12.7109375" style="9" customWidth="1"/>
    <col min="13578" max="13578" width="11.5703125" style="9" hidden="1" customWidth="1"/>
    <col min="13579" max="13581" width="12.7109375" style="9" customWidth="1"/>
    <col min="13582" max="13824" width="11.42578125" style="9"/>
    <col min="13825" max="13825" width="9.5703125" style="9" customWidth="1"/>
    <col min="13826" max="13826" width="50.7109375" style="9" customWidth="1"/>
    <col min="13827" max="13827" width="12.28515625" style="9" customWidth="1"/>
    <col min="13828" max="13828" width="8" style="9" customWidth="1"/>
    <col min="13829" max="13829" width="6.7109375" style="9" customWidth="1"/>
    <col min="13830" max="13831" width="12.7109375" style="9" customWidth="1"/>
    <col min="13832" max="13832" width="20.7109375" style="9" customWidth="1"/>
    <col min="13833" max="13833" width="12.7109375" style="9" customWidth="1"/>
    <col min="13834" max="13834" width="11.5703125" style="9" hidden="1" customWidth="1"/>
    <col min="13835" max="13837" width="12.7109375" style="9" customWidth="1"/>
    <col min="13838" max="14080" width="11.42578125" style="9"/>
    <col min="14081" max="14081" width="9.5703125" style="9" customWidth="1"/>
    <col min="14082" max="14082" width="50.7109375" style="9" customWidth="1"/>
    <col min="14083" max="14083" width="12.28515625" style="9" customWidth="1"/>
    <col min="14084" max="14084" width="8" style="9" customWidth="1"/>
    <col min="14085" max="14085" width="6.7109375" style="9" customWidth="1"/>
    <col min="14086" max="14087" width="12.7109375" style="9" customWidth="1"/>
    <col min="14088" max="14088" width="20.7109375" style="9" customWidth="1"/>
    <col min="14089" max="14089" width="12.7109375" style="9" customWidth="1"/>
    <col min="14090" max="14090" width="11.5703125" style="9" hidden="1" customWidth="1"/>
    <col min="14091" max="14093" width="12.7109375" style="9" customWidth="1"/>
    <col min="14094" max="14336" width="11.42578125" style="9"/>
    <col min="14337" max="14337" width="9.5703125" style="9" customWidth="1"/>
    <col min="14338" max="14338" width="50.7109375" style="9" customWidth="1"/>
    <col min="14339" max="14339" width="12.28515625" style="9" customWidth="1"/>
    <col min="14340" max="14340" width="8" style="9" customWidth="1"/>
    <col min="14341" max="14341" width="6.7109375" style="9" customWidth="1"/>
    <col min="14342" max="14343" width="12.7109375" style="9" customWidth="1"/>
    <col min="14344" max="14344" width="20.7109375" style="9" customWidth="1"/>
    <col min="14345" max="14345" width="12.7109375" style="9" customWidth="1"/>
    <col min="14346" max="14346" width="11.5703125" style="9" hidden="1" customWidth="1"/>
    <col min="14347" max="14349" width="12.7109375" style="9" customWidth="1"/>
    <col min="14350" max="14592" width="11.42578125" style="9"/>
    <col min="14593" max="14593" width="9.5703125" style="9" customWidth="1"/>
    <col min="14594" max="14594" width="50.7109375" style="9" customWidth="1"/>
    <col min="14595" max="14595" width="12.28515625" style="9" customWidth="1"/>
    <col min="14596" max="14596" width="8" style="9" customWidth="1"/>
    <col min="14597" max="14597" width="6.7109375" style="9" customWidth="1"/>
    <col min="14598" max="14599" width="12.7109375" style="9" customWidth="1"/>
    <col min="14600" max="14600" width="20.7109375" style="9" customWidth="1"/>
    <col min="14601" max="14601" width="12.7109375" style="9" customWidth="1"/>
    <col min="14602" max="14602" width="11.5703125" style="9" hidden="1" customWidth="1"/>
    <col min="14603" max="14605" width="12.7109375" style="9" customWidth="1"/>
    <col min="14606" max="14848" width="11.42578125" style="9"/>
    <col min="14849" max="14849" width="9.5703125" style="9" customWidth="1"/>
    <col min="14850" max="14850" width="50.7109375" style="9" customWidth="1"/>
    <col min="14851" max="14851" width="12.28515625" style="9" customWidth="1"/>
    <col min="14852" max="14852" width="8" style="9" customWidth="1"/>
    <col min="14853" max="14853" width="6.7109375" style="9" customWidth="1"/>
    <col min="14854" max="14855" width="12.7109375" style="9" customWidth="1"/>
    <col min="14856" max="14856" width="20.7109375" style="9" customWidth="1"/>
    <col min="14857" max="14857" width="12.7109375" style="9" customWidth="1"/>
    <col min="14858" max="14858" width="11.5703125" style="9" hidden="1" customWidth="1"/>
    <col min="14859" max="14861" width="12.7109375" style="9" customWidth="1"/>
    <col min="14862" max="15104" width="11.42578125" style="9"/>
    <col min="15105" max="15105" width="9.5703125" style="9" customWidth="1"/>
    <col min="15106" max="15106" width="50.7109375" style="9" customWidth="1"/>
    <col min="15107" max="15107" width="12.28515625" style="9" customWidth="1"/>
    <col min="15108" max="15108" width="8" style="9" customWidth="1"/>
    <col min="15109" max="15109" width="6.7109375" style="9" customWidth="1"/>
    <col min="15110" max="15111" width="12.7109375" style="9" customWidth="1"/>
    <col min="15112" max="15112" width="20.7109375" style="9" customWidth="1"/>
    <col min="15113" max="15113" width="12.7109375" style="9" customWidth="1"/>
    <col min="15114" max="15114" width="11.5703125" style="9" hidden="1" customWidth="1"/>
    <col min="15115" max="15117" width="12.7109375" style="9" customWidth="1"/>
    <col min="15118" max="15360" width="11.42578125" style="9"/>
    <col min="15361" max="15361" width="9.5703125" style="9" customWidth="1"/>
    <col min="15362" max="15362" width="50.7109375" style="9" customWidth="1"/>
    <col min="15363" max="15363" width="12.28515625" style="9" customWidth="1"/>
    <col min="15364" max="15364" width="8" style="9" customWidth="1"/>
    <col min="15365" max="15365" width="6.7109375" style="9" customWidth="1"/>
    <col min="15366" max="15367" width="12.7109375" style="9" customWidth="1"/>
    <col min="15368" max="15368" width="20.7109375" style="9" customWidth="1"/>
    <col min="15369" max="15369" width="12.7109375" style="9" customWidth="1"/>
    <col min="15370" max="15370" width="11.5703125" style="9" hidden="1" customWidth="1"/>
    <col min="15371" max="15373" width="12.7109375" style="9" customWidth="1"/>
    <col min="15374" max="15616" width="11.42578125" style="9"/>
    <col min="15617" max="15617" width="9.5703125" style="9" customWidth="1"/>
    <col min="15618" max="15618" width="50.7109375" style="9" customWidth="1"/>
    <col min="15619" max="15619" width="12.28515625" style="9" customWidth="1"/>
    <col min="15620" max="15620" width="8" style="9" customWidth="1"/>
    <col min="15621" max="15621" width="6.7109375" style="9" customWidth="1"/>
    <col min="15622" max="15623" width="12.7109375" style="9" customWidth="1"/>
    <col min="15624" max="15624" width="20.7109375" style="9" customWidth="1"/>
    <col min="15625" max="15625" width="12.7109375" style="9" customWidth="1"/>
    <col min="15626" max="15626" width="11.5703125" style="9" hidden="1" customWidth="1"/>
    <col min="15627" max="15629" width="12.7109375" style="9" customWidth="1"/>
    <col min="15630" max="15872" width="11.42578125" style="9"/>
    <col min="15873" max="15873" width="9.5703125" style="9" customWidth="1"/>
    <col min="15874" max="15874" width="50.7109375" style="9" customWidth="1"/>
    <col min="15875" max="15875" width="12.28515625" style="9" customWidth="1"/>
    <col min="15876" max="15876" width="8" style="9" customWidth="1"/>
    <col min="15877" max="15877" width="6.7109375" style="9" customWidth="1"/>
    <col min="15878" max="15879" width="12.7109375" style="9" customWidth="1"/>
    <col min="15880" max="15880" width="20.7109375" style="9" customWidth="1"/>
    <col min="15881" max="15881" width="12.7109375" style="9" customWidth="1"/>
    <col min="15882" max="15882" width="11.5703125" style="9" hidden="1" customWidth="1"/>
    <col min="15883" max="15885" width="12.7109375" style="9" customWidth="1"/>
    <col min="15886" max="16128" width="11.42578125" style="9"/>
    <col min="16129" max="16129" width="9.5703125" style="9" customWidth="1"/>
    <col min="16130" max="16130" width="50.7109375" style="9" customWidth="1"/>
    <col min="16131" max="16131" width="12.28515625" style="9" customWidth="1"/>
    <col min="16132" max="16132" width="8" style="9" customWidth="1"/>
    <col min="16133" max="16133" width="6.7109375" style="9" customWidth="1"/>
    <col min="16134" max="16135" width="12.7109375" style="9" customWidth="1"/>
    <col min="16136" max="16136" width="20.7109375" style="9" customWidth="1"/>
    <col min="16137" max="16137" width="12.7109375" style="9" customWidth="1"/>
    <col min="16138" max="16138" width="11.5703125" style="9" hidden="1" customWidth="1"/>
    <col min="16139" max="16141" width="12.7109375" style="9" customWidth="1"/>
    <col min="16142" max="16384" width="11.42578125" style="9"/>
  </cols>
  <sheetData>
    <row r="1" spans="1:19" ht="32.25" customHeight="1" x14ac:dyDescent="0.2">
      <c r="A1" s="73"/>
      <c r="B1" s="73"/>
      <c r="C1" s="74" t="s">
        <v>0</v>
      </c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9" s="10" customFormat="1" ht="32.25" customHeight="1" x14ac:dyDescent="0.2">
      <c r="A2" s="73"/>
      <c r="B2" s="73"/>
      <c r="C2" s="75" t="s">
        <v>679</v>
      </c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9" ht="32.25" customHeight="1" x14ac:dyDescent="0.2">
      <c r="A3" s="73"/>
      <c r="B3" s="73"/>
      <c r="C3" s="76" t="s">
        <v>680</v>
      </c>
      <c r="D3" s="76"/>
      <c r="E3" s="76"/>
      <c r="F3" s="76"/>
      <c r="G3" s="76"/>
      <c r="H3" s="76"/>
      <c r="I3" s="76"/>
      <c r="J3" s="11"/>
      <c r="K3" s="11" t="s">
        <v>67</v>
      </c>
      <c r="L3" s="11" t="s">
        <v>681</v>
      </c>
      <c r="M3" s="11" t="s">
        <v>4</v>
      </c>
      <c r="N3" s="12"/>
      <c r="O3" s="12"/>
      <c r="P3" s="12"/>
      <c r="Q3" s="12"/>
      <c r="R3" s="12"/>
      <c r="S3" s="12"/>
    </row>
    <row r="4" spans="1:19" ht="6.75" customHeight="1" x14ac:dyDescent="0.45">
      <c r="A4" s="13"/>
      <c r="B4" s="14"/>
      <c r="C4" s="15"/>
      <c r="D4" s="16"/>
      <c r="E4" s="17"/>
      <c r="F4" s="16"/>
      <c r="G4" s="18"/>
      <c r="H4" s="19"/>
      <c r="I4" s="20"/>
      <c r="J4" s="21"/>
      <c r="K4" s="22"/>
      <c r="L4" s="23"/>
      <c r="M4" s="24"/>
    </row>
    <row r="5" spans="1:19" s="33" customFormat="1" ht="24" customHeight="1" x14ac:dyDescent="0.2">
      <c r="A5" s="25"/>
      <c r="B5" s="26"/>
      <c r="C5" s="27"/>
      <c r="D5" s="28"/>
      <c r="E5" s="29"/>
      <c r="F5" s="28"/>
      <c r="G5" s="29"/>
      <c r="H5" s="30"/>
      <c r="I5" s="31"/>
      <c r="J5" s="29"/>
      <c r="K5" s="32"/>
      <c r="L5" s="77">
        <v>46146</v>
      </c>
      <c r="M5" s="77"/>
    </row>
    <row r="6" spans="1:19" s="33" customFormat="1" ht="18" customHeight="1" x14ac:dyDescent="0.2">
      <c r="A6" s="81" t="s">
        <v>6</v>
      </c>
      <c r="B6" s="82" t="s">
        <v>682</v>
      </c>
      <c r="C6" s="83" t="s">
        <v>631</v>
      </c>
      <c r="D6" s="34" t="s">
        <v>7</v>
      </c>
      <c r="E6" s="79" t="s">
        <v>8</v>
      </c>
      <c r="F6" s="84" t="s">
        <v>683</v>
      </c>
      <c r="G6" s="78" t="s">
        <v>684</v>
      </c>
      <c r="H6" s="35" t="s">
        <v>687</v>
      </c>
      <c r="I6" s="36" t="s">
        <v>686</v>
      </c>
      <c r="J6" s="37" t="s">
        <v>687</v>
      </c>
      <c r="K6" s="80" t="s">
        <v>688</v>
      </c>
      <c r="L6" s="80"/>
      <c r="M6" s="38" t="s">
        <v>688</v>
      </c>
    </row>
    <row r="7" spans="1:19" s="33" customFormat="1" ht="19.5" customHeight="1" x14ac:dyDescent="0.2">
      <c r="A7" s="81"/>
      <c r="B7" s="82"/>
      <c r="C7" s="82"/>
      <c r="D7" s="39" t="s">
        <v>689</v>
      </c>
      <c r="E7" s="79"/>
      <c r="F7" s="79"/>
      <c r="G7" s="79"/>
      <c r="H7" s="40" t="s">
        <v>695</v>
      </c>
      <c r="I7" s="41" t="s">
        <v>691</v>
      </c>
      <c r="J7" s="42" t="s">
        <v>692</v>
      </c>
      <c r="K7" s="43" t="s">
        <v>693</v>
      </c>
      <c r="L7" s="44" t="s">
        <v>694</v>
      </c>
      <c r="M7" s="45" t="s">
        <v>692</v>
      </c>
    </row>
    <row r="8" spans="1:19" s="55" customFormat="1" ht="6.75" customHeight="1" x14ac:dyDescent="0.2">
      <c r="A8" s="46"/>
      <c r="B8" s="47"/>
      <c r="C8" s="48"/>
      <c r="D8" s="49"/>
      <c r="E8" s="50"/>
      <c r="F8" s="49"/>
      <c r="G8" s="51"/>
      <c r="H8" s="52"/>
      <c r="I8" s="53"/>
      <c r="J8" s="50"/>
      <c r="K8" s="54"/>
      <c r="L8" s="54"/>
      <c r="M8" s="50"/>
      <c r="N8" s="33"/>
      <c r="O8" s="33"/>
    </row>
    <row r="9" spans="1:19" s="64" customFormat="1" ht="16.5" customHeight="1" x14ac:dyDescent="0.2">
      <c r="A9" s="65" t="s">
        <v>373</v>
      </c>
      <c r="B9" s="65" t="s">
        <v>374</v>
      </c>
      <c r="C9" s="66"/>
      <c r="D9" s="67">
        <v>10.220000000000001</v>
      </c>
      <c r="E9" s="67" t="s">
        <v>11</v>
      </c>
      <c r="F9" s="68" t="str">
        <f t="shared" ref="F9:F40" si="0">+$M$3</f>
        <v>0022</v>
      </c>
      <c r="G9" s="69"/>
      <c r="H9" s="70">
        <v>7200</v>
      </c>
      <c r="I9" s="70">
        <v>0</v>
      </c>
      <c r="J9" s="62">
        <f t="shared" ref="J9:J40" si="1">D9*H9</f>
        <v>73584</v>
      </c>
      <c r="K9" s="62">
        <f t="shared" ref="K9:K40" si="2">H9-I9</f>
        <v>7200</v>
      </c>
      <c r="L9" s="62">
        <f t="shared" ref="L9:L40" si="3">H9-I9</f>
        <v>7200</v>
      </c>
      <c r="M9" s="63">
        <f t="shared" ref="M9:M40" si="4">L9*D9</f>
        <v>73584</v>
      </c>
    </row>
    <row r="10" spans="1:19" s="64" customFormat="1" ht="16.5" customHeight="1" x14ac:dyDescent="0.2">
      <c r="A10" s="56" t="s">
        <v>193</v>
      </c>
      <c r="B10" s="56" t="s">
        <v>194</v>
      </c>
      <c r="C10" s="57" t="s">
        <v>16</v>
      </c>
      <c r="D10" s="58">
        <v>101.19</v>
      </c>
      <c r="E10" s="58" t="s">
        <v>11</v>
      </c>
      <c r="F10" s="59" t="str">
        <f t="shared" si="0"/>
        <v>0022</v>
      </c>
      <c r="G10" s="60"/>
      <c r="H10" s="61">
        <v>22</v>
      </c>
      <c r="I10" s="61">
        <v>90</v>
      </c>
      <c r="J10" s="62">
        <f t="shared" si="1"/>
        <v>2226.1799999999998</v>
      </c>
      <c r="K10" s="62">
        <f t="shared" si="2"/>
        <v>-68</v>
      </c>
      <c r="L10" s="62">
        <f t="shared" si="3"/>
        <v>-68</v>
      </c>
      <c r="M10" s="63">
        <f t="shared" si="4"/>
        <v>-6880.92</v>
      </c>
    </row>
    <row r="11" spans="1:19" s="64" customFormat="1" ht="16.5" customHeight="1" x14ac:dyDescent="0.2">
      <c r="A11" s="65" t="s">
        <v>395</v>
      </c>
      <c r="B11" s="65" t="s">
        <v>396</v>
      </c>
      <c r="C11" s="66"/>
      <c r="D11" s="67">
        <v>62.75</v>
      </c>
      <c r="E11" s="67" t="s">
        <v>11</v>
      </c>
      <c r="F11" s="68" t="str">
        <f t="shared" si="0"/>
        <v>0022</v>
      </c>
      <c r="G11" s="69"/>
      <c r="H11" s="70">
        <v>100</v>
      </c>
      <c r="I11" s="70">
        <v>0</v>
      </c>
      <c r="J11" s="62">
        <f t="shared" si="1"/>
        <v>6275</v>
      </c>
      <c r="K11" s="62">
        <f t="shared" si="2"/>
        <v>100</v>
      </c>
      <c r="L11" s="62">
        <f t="shared" si="3"/>
        <v>100</v>
      </c>
      <c r="M11" s="63">
        <f t="shared" si="4"/>
        <v>6275</v>
      </c>
    </row>
    <row r="12" spans="1:19" s="64" customFormat="1" ht="16.5" customHeight="1" x14ac:dyDescent="0.2">
      <c r="A12" s="65" t="s">
        <v>304</v>
      </c>
      <c r="B12" s="65" t="s">
        <v>305</v>
      </c>
      <c r="C12" s="66"/>
      <c r="D12" s="67">
        <v>10.86</v>
      </c>
      <c r="E12" s="67" t="s">
        <v>11</v>
      </c>
      <c r="F12" s="68" t="str">
        <f t="shared" si="0"/>
        <v>0022</v>
      </c>
      <c r="G12" s="69"/>
      <c r="H12" s="70">
        <v>500</v>
      </c>
      <c r="I12" s="70">
        <v>0</v>
      </c>
      <c r="J12" s="62">
        <f t="shared" si="1"/>
        <v>5430</v>
      </c>
      <c r="K12" s="62">
        <f t="shared" si="2"/>
        <v>500</v>
      </c>
      <c r="L12" s="62">
        <f t="shared" si="3"/>
        <v>500</v>
      </c>
      <c r="M12" s="63">
        <f t="shared" si="4"/>
        <v>5430</v>
      </c>
    </row>
    <row r="13" spans="1:19" s="64" customFormat="1" ht="16.5" customHeight="1" x14ac:dyDescent="0.2">
      <c r="A13" s="65" t="s">
        <v>337</v>
      </c>
      <c r="B13" s="65" t="s">
        <v>338</v>
      </c>
      <c r="C13" s="66"/>
      <c r="D13" s="67">
        <v>504.55</v>
      </c>
      <c r="E13" s="67" t="s">
        <v>11</v>
      </c>
      <c r="F13" s="68" t="str">
        <f t="shared" si="0"/>
        <v>0022</v>
      </c>
      <c r="G13" s="69"/>
      <c r="H13" s="70">
        <v>8</v>
      </c>
      <c r="I13" s="70">
        <v>0</v>
      </c>
      <c r="J13" s="62">
        <f t="shared" si="1"/>
        <v>4036.4</v>
      </c>
      <c r="K13" s="62">
        <f t="shared" si="2"/>
        <v>8</v>
      </c>
      <c r="L13" s="62">
        <f t="shared" si="3"/>
        <v>8</v>
      </c>
      <c r="M13" s="63">
        <f t="shared" si="4"/>
        <v>4036.4</v>
      </c>
    </row>
    <row r="14" spans="1:19" s="64" customFormat="1" ht="16.5" customHeight="1" x14ac:dyDescent="0.2">
      <c r="A14" s="65" t="s">
        <v>361</v>
      </c>
      <c r="B14" s="65" t="s">
        <v>362</v>
      </c>
      <c r="C14" s="66"/>
      <c r="D14" s="67">
        <v>36.79</v>
      </c>
      <c r="E14" s="67" t="s">
        <v>11</v>
      </c>
      <c r="F14" s="68" t="str">
        <f t="shared" si="0"/>
        <v>0022</v>
      </c>
      <c r="G14" s="69"/>
      <c r="H14" s="70">
        <v>108</v>
      </c>
      <c r="I14" s="70">
        <v>0</v>
      </c>
      <c r="J14" s="62">
        <f t="shared" si="1"/>
        <v>3973.3199999999997</v>
      </c>
      <c r="K14" s="62">
        <f t="shared" si="2"/>
        <v>108</v>
      </c>
      <c r="L14" s="62">
        <f t="shared" si="3"/>
        <v>108</v>
      </c>
      <c r="M14" s="63">
        <f t="shared" si="4"/>
        <v>3973.3199999999997</v>
      </c>
    </row>
    <row r="15" spans="1:19" s="64" customFormat="1" ht="16.5" customHeight="1" x14ac:dyDescent="0.2">
      <c r="A15" s="65" t="s">
        <v>405</v>
      </c>
      <c r="B15" s="65" t="s">
        <v>406</v>
      </c>
      <c r="C15" s="66"/>
      <c r="D15" s="67">
        <v>55.61</v>
      </c>
      <c r="E15" s="67" t="s">
        <v>11</v>
      </c>
      <c r="F15" s="68" t="str">
        <f t="shared" si="0"/>
        <v>0022</v>
      </c>
      <c r="G15" s="69"/>
      <c r="H15" s="70">
        <v>54</v>
      </c>
      <c r="I15" s="70">
        <v>0</v>
      </c>
      <c r="J15" s="62">
        <f t="shared" si="1"/>
        <v>3002.94</v>
      </c>
      <c r="K15" s="62">
        <f t="shared" si="2"/>
        <v>54</v>
      </c>
      <c r="L15" s="62">
        <f t="shared" si="3"/>
        <v>54</v>
      </c>
      <c r="M15" s="63">
        <f t="shared" si="4"/>
        <v>3002.94</v>
      </c>
    </row>
    <row r="16" spans="1:19" s="64" customFormat="1" ht="16.5" customHeight="1" x14ac:dyDescent="0.2">
      <c r="A16" s="56" t="s">
        <v>177</v>
      </c>
      <c r="B16" s="56" t="s">
        <v>178</v>
      </c>
      <c r="C16" s="57" t="s">
        <v>16</v>
      </c>
      <c r="D16" s="58">
        <v>100.92</v>
      </c>
      <c r="E16" s="58" t="s">
        <v>11</v>
      </c>
      <c r="F16" s="59" t="str">
        <f t="shared" si="0"/>
        <v>0022</v>
      </c>
      <c r="G16" s="60"/>
      <c r="H16" s="61">
        <v>0</v>
      </c>
      <c r="I16" s="61">
        <v>29</v>
      </c>
      <c r="J16" s="62">
        <f t="shared" si="1"/>
        <v>0</v>
      </c>
      <c r="K16" s="62">
        <f t="shared" si="2"/>
        <v>-29</v>
      </c>
      <c r="L16" s="62">
        <f t="shared" si="3"/>
        <v>-29</v>
      </c>
      <c r="M16" s="63">
        <f t="shared" si="4"/>
        <v>-2926.68</v>
      </c>
    </row>
    <row r="17" spans="1:13" s="64" customFormat="1" ht="16.5" customHeight="1" x14ac:dyDescent="0.2">
      <c r="A17" s="56" t="s">
        <v>163</v>
      </c>
      <c r="B17" s="56" t="s">
        <v>164</v>
      </c>
      <c r="C17" s="57"/>
      <c r="D17" s="58">
        <v>113.59</v>
      </c>
      <c r="E17" s="58" t="s">
        <v>11</v>
      </c>
      <c r="F17" s="59" t="str">
        <f t="shared" si="0"/>
        <v>0022</v>
      </c>
      <c r="G17" s="60"/>
      <c r="H17" s="61">
        <v>0</v>
      </c>
      <c r="I17" s="61">
        <v>24</v>
      </c>
      <c r="J17" s="62">
        <f t="shared" si="1"/>
        <v>0</v>
      </c>
      <c r="K17" s="62">
        <f t="shared" si="2"/>
        <v>-24</v>
      </c>
      <c r="L17" s="62">
        <f t="shared" si="3"/>
        <v>-24</v>
      </c>
      <c r="M17" s="63">
        <f t="shared" si="4"/>
        <v>-2726.16</v>
      </c>
    </row>
    <row r="18" spans="1:13" s="64" customFormat="1" ht="16.5" customHeight="1" x14ac:dyDescent="0.2">
      <c r="A18" s="65" t="s">
        <v>314</v>
      </c>
      <c r="B18" s="65" t="s">
        <v>315</v>
      </c>
      <c r="C18" s="66" t="s">
        <v>16</v>
      </c>
      <c r="D18" s="67">
        <v>50.93</v>
      </c>
      <c r="E18" s="67" t="s">
        <v>11</v>
      </c>
      <c r="F18" s="68" t="str">
        <f t="shared" si="0"/>
        <v>0022</v>
      </c>
      <c r="G18" s="69"/>
      <c r="H18" s="70">
        <v>36</v>
      </c>
      <c r="I18" s="70">
        <v>0</v>
      </c>
      <c r="J18" s="62">
        <f t="shared" si="1"/>
        <v>1833.48</v>
      </c>
      <c r="K18" s="62">
        <f t="shared" si="2"/>
        <v>36</v>
      </c>
      <c r="L18" s="62">
        <f t="shared" si="3"/>
        <v>36</v>
      </c>
      <c r="M18" s="63">
        <f t="shared" si="4"/>
        <v>1833.48</v>
      </c>
    </row>
    <row r="19" spans="1:13" s="64" customFormat="1" ht="16.5" customHeight="1" x14ac:dyDescent="0.2">
      <c r="A19" s="56" t="s">
        <v>133</v>
      </c>
      <c r="B19" s="56" t="s">
        <v>129</v>
      </c>
      <c r="C19" s="57" t="s">
        <v>519</v>
      </c>
      <c r="D19" s="58">
        <v>10.199999999999999</v>
      </c>
      <c r="E19" s="58" t="s">
        <v>11</v>
      </c>
      <c r="F19" s="59" t="str">
        <f t="shared" si="0"/>
        <v>0022</v>
      </c>
      <c r="G19" s="60"/>
      <c r="H19" s="61">
        <v>0</v>
      </c>
      <c r="I19" s="61">
        <v>175</v>
      </c>
      <c r="J19" s="62">
        <f t="shared" si="1"/>
        <v>0</v>
      </c>
      <c r="K19" s="62">
        <f t="shared" si="2"/>
        <v>-175</v>
      </c>
      <c r="L19" s="62">
        <f t="shared" si="3"/>
        <v>-175</v>
      </c>
      <c r="M19" s="63">
        <f t="shared" si="4"/>
        <v>-1784.9999999999998</v>
      </c>
    </row>
    <row r="20" spans="1:13" s="64" customFormat="1" ht="16.5" customHeight="1" x14ac:dyDescent="0.2">
      <c r="A20" s="56" t="s">
        <v>133</v>
      </c>
      <c r="B20" s="56" t="s">
        <v>129</v>
      </c>
      <c r="C20" s="57" t="s">
        <v>282</v>
      </c>
      <c r="D20" s="58">
        <v>10.199999999999999</v>
      </c>
      <c r="E20" s="58" t="s">
        <v>11</v>
      </c>
      <c r="F20" s="59" t="str">
        <f t="shared" si="0"/>
        <v>0022</v>
      </c>
      <c r="G20" s="60"/>
      <c r="H20" s="61">
        <v>0</v>
      </c>
      <c r="I20" s="61">
        <v>160</v>
      </c>
      <c r="J20" s="62">
        <f t="shared" si="1"/>
        <v>0</v>
      </c>
      <c r="K20" s="62">
        <f t="shared" si="2"/>
        <v>-160</v>
      </c>
      <c r="L20" s="62">
        <f t="shared" si="3"/>
        <v>-160</v>
      </c>
      <c r="M20" s="63">
        <f t="shared" si="4"/>
        <v>-1632</v>
      </c>
    </row>
    <row r="21" spans="1:13" s="64" customFormat="1" ht="16.5" customHeight="1" x14ac:dyDescent="0.2">
      <c r="A21" s="65" t="s">
        <v>331</v>
      </c>
      <c r="B21" s="65" t="s">
        <v>332</v>
      </c>
      <c r="C21" s="66" t="s">
        <v>16</v>
      </c>
      <c r="D21" s="67">
        <v>101.93</v>
      </c>
      <c r="E21" s="67" t="s">
        <v>11</v>
      </c>
      <c r="F21" s="68" t="str">
        <f t="shared" si="0"/>
        <v>0022</v>
      </c>
      <c r="G21" s="69"/>
      <c r="H21" s="70">
        <v>16</v>
      </c>
      <c r="I21" s="70">
        <v>0</v>
      </c>
      <c r="J21" s="62">
        <f t="shared" si="1"/>
        <v>1630.88</v>
      </c>
      <c r="K21" s="62">
        <f t="shared" si="2"/>
        <v>16</v>
      </c>
      <c r="L21" s="62">
        <f t="shared" si="3"/>
        <v>16</v>
      </c>
      <c r="M21" s="63">
        <f t="shared" si="4"/>
        <v>1630.88</v>
      </c>
    </row>
    <row r="22" spans="1:13" s="64" customFormat="1" ht="16.5" customHeight="1" x14ac:dyDescent="0.2">
      <c r="A22" s="65" t="s">
        <v>328</v>
      </c>
      <c r="B22" s="65" t="s">
        <v>329</v>
      </c>
      <c r="C22" s="66" t="s">
        <v>16</v>
      </c>
      <c r="D22" s="67">
        <v>100.99</v>
      </c>
      <c r="E22" s="67" t="s">
        <v>11</v>
      </c>
      <c r="F22" s="68" t="str">
        <f t="shared" si="0"/>
        <v>0022</v>
      </c>
      <c r="G22" s="69"/>
      <c r="H22" s="70">
        <v>16</v>
      </c>
      <c r="I22" s="70">
        <v>0</v>
      </c>
      <c r="J22" s="62">
        <f t="shared" si="1"/>
        <v>1615.84</v>
      </c>
      <c r="K22" s="62">
        <f t="shared" si="2"/>
        <v>16</v>
      </c>
      <c r="L22" s="62">
        <f t="shared" si="3"/>
        <v>16</v>
      </c>
      <c r="M22" s="63">
        <f t="shared" si="4"/>
        <v>1615.84</v>
      </c>
    </row>
    <row r="23" spans="1:13" s="64" customFormat="1" ht="16.5" customHeight="1" x14ac:dyDescent="0.2">
      <c r="A23" s="65" t="s">
        <v>464</v>
      </c>
      <c r="B23" s="65" t="s">
        <v>465</v>
      </c>
      <c r="C23" s="66"/>
      <c r="D23" s="67">
        <v>14.12</v>
      </c>
      <c r="E23" s="67" t="s">
        <v>11</v>
      </c>
      <c r="F23" s="68" t="str">
        <f t="shared" si="0"/>
        <v>0022</v>
      </c>
      <c r="G23" s="69"/>
      <c r="H23" s="70">
        <v>107</v>
      </c>
      <c r="I23" s="70">
        <v>0</v>
      </c>
      <c r="J23" s="62">
        <f t="shared" si="1"/>
        <v>1510.84</v>
      </c>
      <c r="K23" s="62">
        <f t="shared" si="2"/>
        <v>107</v>
      </c>
      <c r="L23" s="62">
        <f t="shared" si="3"/>
        <v>107</v>
      </c>
      <c r="M23" s="63">
        <f t="shared" si="4"/>
        <v>1510.84</v>
      </c>
    </row>
    <row r="24" spans="1:13" s="64" customFormat="1" ht="16.5" customHeight="1" x14ac:dyDescent="0.2">
      <c r="A24" s="56" t="s">
        <v>72</v>
      </c>
      <c r="B24" s="56" t="s">
        <v>73</v>
      </c>
      <c r="C24" s="57" t="s">
        <v>16</v>
      </c>
      <c r="D24" s="58">
        <v>94.62</v>
      </c>
      <c r="E24" s="58" t="s">
        <v>11</v>
      </c>
      <c r="F24" s="59" t="str">
        <f t="shared" si="0"/>
        <v>0022</v>
      </c>
      <c r="G24" s="60"/>
      <c r="H24" s="61">
        <v>0</v>
      </c>
      <c r="I24" s="61">
        <v>13</v>
      </c>
      <c r="J24" s="62">
        <f t="shared" si="1"/>
        <v>0</v>
      </c>
      <c r="K24" s="62">
        <f t="shared" si="2"/>
        <v>-13</v>
      </c>
      <c r="L24" s="62">
        <f t="shared" si="3"/>
        <v>-13</v>
      </c>
      <c r="M24" s="63">
        <f t="shared" si="4"/>
        <v>-1230.06</v>
      </c>
    </row>
    <row r="25" spans="1:13" s="64" customFormat="1" ht="16.5" customHeight="1" x14ac:dyDescent="0.2">
      <c r="A25" s="56" t="s">
        <v>232</v>
      </c>
      <c r="B25" s="56" t="s">
        <v>233</v>
      </c>
      <c r="C25" s="57" t="s">
        <v>614</v>
      </c>
      <c r="D25" s="58">
        <v>27.68</v>
      </c>
      <c r="E25" s="58" t="s">
        <v>11</v>
      </c>
      <c r="F25" s="59" t="str">
        <f t="shared" si="0"/>
        <v>0022</v>
      </c>
      <c r="G25" s="60"/>
      <c r="H25" s="61">
        <v>0</v>
      </c>
      <c r="I25" s="61">
        <v>40</v>
      </c>
      <c r="J25" s="62">
        <f t="shared" si="1"/>
        <v>0</v>
      </c>
      <c r="K25" s="62">
        <f t="shared" si="2"/>
        <v>-40</v>
      </c>
      <c r="L25" s="62">
        <f t="shared" si="3"/>
        <v>-40</v>
      </c>
      <c r="M25" s="63">
        <f t="shared" si="4"/>
        <v>-1107.2</v>
      </c>
    </row>
    <row r="26" spans="1:13" s="64" customFormat="1" ht="16.5" customHeight="1" x14ac:dyDescent="0.2">
      <c r="A26" s="65" t="s">
        <v>403</v>
      </c>
      <c r="B26" s="65" t="s">
        <v>404</v>
      </c>
      <c r="C26" s="66"/>
      <c r="D26" s="67">
        <v>39.78</v>
      </c>
      <c r="E26" s="67" t="s">
        <v>11</v>
      </c>
      <c r="F26" s="68" t="str">
        <f t="shared" si="0"/>
        <v>0022</v>
      </c>
      <c r="G26" s="69"/>
      <c r="H26" s="70">
        <v>24</v>
      </c>
      <c r="I26" s="70">
        <v>0</v>
      </c>
      <c r="J26" s="62">
        <f t="shared" si="1"/>
        <v>954.72</v>
      </c>
      <c r="K26" s="62">
        <f t="shared" si="2"/>
        <v>24</v>
      </c>
      <c r="L26" s="62">
        <f t="shared" si="3"/>
        <v>24</v>
      </c>
      <c r="M26" s="63">
        <f t="shared" si="4"/>
        <v>954.72</v>
      </c>
    </row>
    <row r="27" spans="1:13" s="64" customFormat="1" ht="16.5" customHeight="1" x14ac:dyDescent="0.2">
      <c r="A27" s="65" t="s">
        <v>462</v>
      </c>
      <c r="B27" s="65" t="s">
        <v>463</v>
      </c>
      <c r="C27" s="66"/>
      <c r="D27" s="67">
        <v>4.7300000000000004</v>
      </c>
      <c r="E27" s="67" t="s">
        <v>11</v>
      </c>
      <c r="F27" s="68" t="str">
        <f t="shared" si="0"/>
        <v>0022</v>
      </c>
      <c r="G27" s="69"/>
      <c r="H27" s="70">
        <v>200</v>
      </c>
      <c r="I27" s="70">
        <v>0</v>
      </c>
      <c r="J27" s="62">
        <f t="shared" si="1"/>
        <v>946.00000000000011</v>
      </c>
      <c r="K27" s="62">
        <f t="shared" si="2"/>
        <v>200</v>
      </c>
      <c r="L27" s="62">
        <f t="shared" si="3"/>
        <v>200</v>
      </c>
      <c r="M27" s="63">
        <f t="shared" si="4"/>
        <v>946.00000000000011</v>
      </c>
    </row>
    <row r="28" spans="1:13" s="64" customFormat="1" ht="16.5" customHeight="1" x14ac:dyDescent="0.2">
      <c r="A28" s="65" t="s">
        <v>411</v>
      </c>
      <c r="B28" s="65" t="s">
        <v>412</v>
      </c>
      <c r="C28" s="66"/>
      <c r="D28" s="67">
        <v>15.52</v>
      </c>
      <c r="E28" s="67" t="s">
        <v>11</v>
      </c>
      <c r="F28" s="68" t="str">
        <f t="shared" si="0"/>
        <v>0022</v>
      </c>
      <c r="G28" s="69"/>
      <c r="H28" s="70">
        <v>51</v>
      </c>
      <c r="I28" s="70">
        <v>0</v>
      </c>
      <c r="J28" s="62">
        <f t="shared" si="1"/>
        <v>791.52</v>
      </c>
      <c r="K28" s="62">
        <f t="shared" si="2"/>
        <v>51</v>
      </c>
      <c r="L28" s="62">
        <f t="shared" si="3"/>
        <v>51</v>
      </c>
      <c r="M28" s="63">
        <f t="shared" si="4"/>
        <v>791.52</v>
      </c>
    </row>
    <row r="29" spans="1:13" s="64" customFormat="1" ht="16.5" customHeight="1" x14ac:dyDescent="0.2">
      <c r="A29" s="56" t="s">
        <v>58</v>
      </c>
      <c r="B29" s="56" t="s">
        <v>59</v>
      </c>
      <c r="C29" s="57" t="s">
        <v>61</v>
      </c>
      <c r="D29" s="58">
        <v>10.46</v>
      </c>
      <c r="E29" s="58" t="s">
        <v>11</v>
      </c>
      <c r="F29" s="59" t="str">
        <f t="shared" si="0"/>
        <v>0022</v>
      </c>
      <c r="G29" s="60"/>
      <c r="H29" s="61">
        <v>0</v>
      </c>
      <c r="I29" s="61">
        <v>54</v>
      </c>
      <c r="J29" s="62">
        <f t="shared" si="1"/>
        <v>0</v>
      </c>
      <c r="K29" s="62">
        <f t="shared" si="2"/>
        <v>-54</v>
      </c>
      <c r="L29" s="62">
        <f t="shared" si="3"/>
        <v>-54</v>
      </c>
      <c r="M29" s="63">
        <f t="shared" si="4"/>
        <v>-564.84</v>
      </c>
    </row>
    <row r="30" spans="1:13" s="64" customFormat="1" ht="16.5" customHeight="1" x14ac:dyDescent="0.2">
      <c r="A30" s="56" t="s">
        <v>232</v>
      </c>
      <c r="B30" s="56" t="s">
        <v>233</v>
      </c>
      <c r="C30" s="57" t="s">
        <v>487</v>
      </c>
      <c r="D30" s="58">
        <v>27.68</v>
      </c>
      <c r="E30" s="58" t="s">
        <v>11</v>
      </c>
      <c r="F30" s="59" t="str">
        <f t="shared" si="0"/>
        <v>0022</v>
      </c>
      <c r="G30" s="60"/>
      <c r="H30" s="61">
        <v>0</v>
      </c>
      <c r="I30" s="61">
        <v>20</v>
      </c>
      <c r="J30" s="62">
        <f t="shared" si="1"/>
        <v>0</v>
      </c>
      <c r="K30" s="62">
        <f t="shared" si="2"/>
        <v>-20</v>
      </c>
      <c r="L30" s="62">
        <f t="shared" si="3"/>
        <v>-20</v>
      </c>
      <c r="M30" s="63">
        <f t="shared" si="4"/>
        <v>-553.6</v>
      </c>
    </row>
    <row r="31" spans="1:13" s="64" customFormat="1" ht="16.5" customHeight="1" x14ac:dyDescent="0.2">
      <c r="A31" s="56" t="s">
        <v>70</v>
      </c>
      <c r="B31" s="56" t="s">
        <v>71</v>
      </c>
      <c r="C31" s="57" t="s">
        <v>16</v>
      </c>
      <c r="D31" s="58">
        <v>86.67</v>
      </c>
      <c r="E31" s="58" t="s">
        <v>11</v>
      </c>
      <c r="F31" s="59" t="str">
        <f t="shared" si="0"/>
        <v>0022</v>
      </c>
      <c r="G31" s="60"/>
      <c r="H31" s="61">
        <v>0</v>
      </c>
      <c r="I31" s="61">
        <v>6</v>
      </c>
      <c r="J31" s="62">
        <f t="shared" si="1"/>
        <v>0</v>
      </c>
      <c r="K31" s="62">
        <f t="shared" si="2"/>
        <v>-6</v>
      </c>
      <c r="L31" s="62">
        <f t="shared" si="3"/>
        <v>-6</v>
      </c>
      <c r="M31" s="63">
        <f t="shared" si="4"/>
        <v>-520.02</v>
      </c>
    </row>
    <row r="32" spans="1:13" s="64" customFormat="1" ht="16.5" customHeight="1" x14ac:dyDescent="0.2">
      <c r="A32" s="65" t="s">
        <v>171</v>
      </c>
      <c r="B32" s="65" t="s">
        <v>172</v>
      </c>
      <c r="C32" s="66"/>
      <c r="D32" s="67">
        <v>47.26</v>
      </c>
      <c r="E32" s="67" t="s">
        <v>11</v>
      </c>
      <c r="F32" s="68" t="str">
        <f t="shared" si="0"/>
        <v>0022</v>
      </c>
      <c r="G32" s="69"/>
      <c r="H32" s="70">
        <v>8</v>
      </c>
      <c r="I32" s="70">
        <v>0</v>
      </c>
      <c r="J32" s="62">
        <f t="shared" si="1"/>
        <v>378.08</v>
      </c>
      <c r="K32" s="62">
        <f t="shared" si="2"/>
        <v>8</v>
      </c>
      <c r="L32" s="62">
        <f t="shared" si="3"/>
        <v>8</v>
      </c>
      <c r="M32" s="63">
        <f t="shared" si="4"/>
        <v>378.08</v>
      </c>
    </row>
    <row r="33" spans="1:13" s="64" customFormat="1" ht="16.5" customHeight="1" x14ac:dyDescent="0.2">
      <c r="A33" s="56" t="s">
        <v>38</v>
      </c>
      <c r="B33" s="56" t="s">
        <v>39</v>
      </c>
      <c r="C33" s="57" t="s">
        <v>529</v>
      </c>
      <c r="D33" s="58">
        <v>2.95</v>
      </c>
      <c r="E33" s="58" t="s">
        <v>11</v>
      </c>
      <c r="F33" s="59" t="str">
        <f t="shared" si="0"/>
        <v>0022</v>
      </c>
      <c r="G33" s="60"/>
      <c r="H33" s="61">
        <v>0</v>
      </c>
      <c r="I33" s="61">
        <v>109</v>
      </c>
      <c r="J33" s="62">
        <f t="shared" si="1"/>
        <v>0</v>
      </c>
      <c r="K33" s="62">
        <f t="shared" si="2"/>
        <v>-109</v>
      </c>
      <c r="L33" s="62">
        <f t="shared" si="3"/>
        <v>-109</v>
      </c>
      <c r="M33" s="63">
        <f t="shared" si="4"/>
        <v>-321.55</v>
      </c>
    </row>
    <row r="34" spans="1:13" s="64" customFormat="1" ht="16.5" customHeight="1" x14ac:dyDescent="0.2">
      <c r="A34" s="56" t="s">
        <v>183</v>
      </c>
      <c r="B34" s="56" t="s">
        <v>184</v>
      </c>
      <c r="C34" s="57" t="s">
        <v>16</v>
      </c>
      <c r="D34" s="58">
        <v>101.56</v>
      </c>
      <c r="E34" s="58" t="s">
        <v>11</v>
      </c>
      <c r="F34" s="59" t="str">
        <f t="shared" si="0"/>
        <v>0022</v>
      </c>
      <c r="G34" s="60"/>
      <c r="H34" s="61">
        <v>0</v>
      </c>
      <c r="I34" s="61">
        <v>3</v>
      </c>
      <c r="J34" s="62">
        <f t="shared" si="1"/>
        <v>0</v>
      </c>
      <c r="K34" s="62">
        <f t="shared" si="2"/>
        <v>-3</v>
      </c>
      <c r="L34" s="62">
        <f t="shared" si="3"/>
        <v>-3</v>
      </c>
      <c r="M34" s="63">
        <f t="shared" si="4"/>
        <v>-304.68</v>
      </c>
    </row>
    <row r="35" spans="1:13" s="64" customFormat="1" ht="16.5" customHeight="1" x14ac:dyDescent="0.2">
      <c r="A35" s="65" t="s">
        <v>379</v>
      </c>
      <c r="B35" s="65" t="s">
        <v>380</v>
      </c>
      <c r="C35" s="66"/>
      <c r="D35" s="67">
        <v>3.47</v>
      </c>
      <c r="E35" s="67" t="s">
        <v>11</v>
      </c>
      <c r="F35" s="68" t="str">
        <f t="shared" si="0"/>
        <v>0022</v>
      </c>
      <c r="G35" s="69"/>
      <c r="H35" s="70">
        <v>80</v>
      </c>
      <c r="I35" s="70">
        <v>0</v>
      </c>
      <c r="J35" s="62">
        <f t="shared" si="1"/>
        <v>277.60000000000002</v>
      </c>
      <c r="K35" s="62">
        <f t="shared" si="2"/>
        <v>80</v>
      </c>
      <c r="L35" s="62">
        <f t="shared" si="3"/>
        <v>80</v>
      </c>
      <c r="M35" s="63">
        <f t="shared" si="4"/>
        <v>277.60000000000002</v>
      </c>
    </row>
    <row r="36" spans="1:13" s="64" customFormat="1" ht="16.5" customHeight="1" x14ac:dyDescent="0.2">
      <c r="A36" s="56" t="s">
        <v>232</v>
      </c>
      <c r="B36" s="56" t="s">
        <v>233</v>
      </c>
      <c r="C36" s="57" t="s">
        <v>613</v>
      </c>
      <c r="D36" s="58">
        <v>27.68</v>
      </c>
      <c r="E36" s="58" t="s">
        <v>11</v>
      </c>
      <c r="F36" s="59" t="str">
        <f t="shared" si="0"/>
        <v>0022</v>
      </c>
      <c r="G36" s="60"/>
      <c r="H36" s="61">
        <v>0</v>
      </c>
      <c r="I36" s="61">
        <v>10</v>
      </c>
      <c r="J36" s="62">
        <f t="shared" si="1"/>
        <v>0</v>
      </c>
      <c r="K36" s="62">
        <f t="shared" si="2"/>
        <v>-10</v>
      </c>
      <c r="L36" s="62">
        <f t="shared" si="3"/>
        <v>-10</v>
      </c>
      <c r="M36" s="63">
        <f t="shared" si="4"/>
        <v>-276.8</v>
      </c>
    </row>
    <row r="37" spans="1:13" s="64" customFormat="1" ht="16.5" customHeight="1" x14ac:dyDescent="0.2">
      <c r="A37" s="65" t="s">
        <v>468</v>
      </c>
      <c r="B37" s="65" t="s">
        <v>469</v>
      </c>
      <c r="C37" s="66"/>
      <c r="D37" s="67">
        <v>2</v>
      </c>
      <c r="E37" s="67" t="s">
        <v>11</v>
      </c>
      <c r="F37" s="68" t="str">
        <f t="shared" si="0"/>
        <v>0022</v>
      </c>
      <c r="G37" s="69"/>
      <c r="H37" s="70">
        <v>120</v>
      </c>
      <c r="I37" s="70">
        <v>0</v>
      </c>
      <c r="J37" s="62">
        <f t="shared" si="1"/>
        <v>240</v>
      </c>
      <c r="K37" s="62">
        <f t="shared" si="2"/>
        <v>120</v>
      </c>
      <c r="L37" s="62">
        <f t="shared" si="3"/>
        <v>120</v>
      </c>
      <c r="M37" s="63">
        <f t="shared" si="4"/>
        <v>240</v>
      </c>
    </row>
    <row r="38" spans="1:13" s="64" customFormat="1" ht="16.5" customHeight="1" x14ac:dyDescent="0.2">
      <c r="A38" s="65" t="s">
        <v>397</v>
      </c>
      <c r="B38" s="65" t="s">
        <v>398</v>
      </c>
      <c r="C38" s="66"/>
      <c r="D38" s="67">
        <v>108.68</v>
      </c>
      <c r="E38" s="67" t="s">
        <v>11</v>
      </c>
      <c r="F38" s="68" t="str">
        <f t="shared" si="0"/>
        <v>0022</v>
      </c>
      <c r="G38" s="69"/>
      <c r="H38" s="70">
        <v>2</v>
      </c>
      <c r="I38" s="70">
        <v>0</v>
      </c>
      <c r="J38" s="62">
        <f t="shared" si="1"/>
        <v>217.36</v>
      </c>
      <c r="K38" s="62">
        <f t="shared" si="2"/>
        <v>2</v>
      </c>
      <c r="L38" s="62">
        <f t="shared" si="3"/>
        <v>2</v>
      </c>
      <c r="M38" s="63">
        <f t="shared" si="4"/>
        <v>217.36</v>
      </c>
    </row>
    <row r="39" spans="1:13" s="64" customFormat="1" ht="16.5" customHeight="1" x14ac:dyDescent="0.2">
      <c r="A39" s="65" t="s">
        <v>359</v>
      </c>
      <c r="B39" s="65" t="s">
        <v>360</v>
      </c>
      <c r="C39" s="66"/>
      <c r="D39" s="67">
        <v>13.81</v>
      </c>
      <c r="E39" s="67" t="s">
        <v>11</v>
      </c>
      <c r="F39" s="68" t="str">
        <f t="shared" si="0"/>
        <v>0022</v>
      </c>
      <c r="G39" s="69"/>
      <c r="H39" s="70">
        <v>15</v>
      </c>
      <c r="I39" s="70">
        <v>0</v>
      </c>
      <c r="J39" s="62">
        <f t="shared" si="1"/>
        <v>207.15</v>
      </c>
      <c r="K39" s="62">
        <f t="shared" si="2"/>
        <v>15</v>
      </c>
      <c r="L39" s="62">
        <f t="shared" si="3"/>
        <v>15</v>
      </c>
      <c r="M39" s="63">
        <f t="shared" si="4"/>
        <v>207.15</v>
      </c>
    </row>
    <row r="40" spans="1:13" s="64" customFormat="1" ht="16.5" customHeight="1" x14ac:dyDescent="0.2">
      <c r="A40" s="65" t="s">
        <v>9</v>
      </c>
      <c r="B40" s="65" t="s">
        <v>10</v>
      </c>
      <c r="C40" s="66" t="s">
        <v>16</v>
      </c>
      <c r="D40" s="67">
        <v>65.41</v>
      </c>
      <c r="E40" s="67" t="s">
        <v>11</v>
      </c>
      <c r="F40" s="68" t="str">
        <f t="shared" si="0"/>
        <v>0022</v>
      </c>
      <c r="G40" s="69"/>
      <c r="H40" s="70">
        <v>2</v>
      </c>
      <c r="I40" s="70">
        <v>0</v>
      </c>
      <c r="J40" s="62">
        <f t="shared" si="1"/>
        <v>130.82</v>
      </c>
      <c r="K40" s="62">
        <f t="shared" si="2"/>
        <v>2</v>
      </c>
      <c r="L40" s="62">
        <f t="shared" si="3"/>
        <v>2</v>
      </c>
      <c r="M40" s="63">
        <f t="shared" si="4"/>
        <v>130.82</v>
      </c>
    </row>
    <row r="41" spans="1:13" s="64" customFormat="1" ht="16.5" customHeight="1" x14ac:dyDescent="0.2">
      <c r="A41" s="65" t="s">
        <v>347</v>
      </c>
      <c r="B41" s="65" t="s">
        <v>348</v>
      </c>
      <c r="C41" s="66"/>
      <c r="D41" s="67">
        <v>1</v>
      </c>
      <c r="E41" s="67" t="s">
        <v>11</v>
      </c>
      <c r="F41" s="68" t="str">
        <f t="shared" ref="F41:F53" si="5">+$M$3</f>
        <v>0022</v>
      </c>
      <c r="G41" s="69"/>
      <c r="H41" s="70">
        <v>70</v>
      </c>
      <c r="I41" s="70">
        <v>0</v>
      </c>
      <c r="J41" s="62">
        <f t="shared" ref="J41:J53" si="6">D41*H41</f>
        <v>70</v>
      </c>
      <c r="K41" s="62">
        <f t="shared" ref="K41:K53" si="7">H41-I41</f>
        <v>70</v>
      </c>
      <c r="L41" s="62">
        <f t="shared" ref="L41:L53" si="8">H41-I41</f>
        <v>70</v>
      </c>
      <c r="M41" s="63">
        <f t="shared" ref="M41:M53" si="9">L41*D41</f>
        <v>70</v>
      </c>
    </row>
    <row r="42" spans="1:13" s="64" customFormat="1" ht="16.5" customHeight="1" x14ac:dyDescent="0.2">
      <c r="A42" s="65" t="s">
        <v>318</v>
      </c>
      <c r="B42" s="65" t="s">
        <v>319</v>
      </c>
      <c r="C42" s="66" t="s">
        <v>16</v>
      </c>
      <c r="D42" s="67">
        <v>57.56</v>
      </c>
      <c r="E42" s="67" t="s">
        <v>11</v>
      </c>
      <c r="F42" s="68" t="str">
        <f t="shared" si="5"/>
        <v>0022</v>
      </c>
      <c r="G42" s="69"/>
      <c r="H42" s="70">
        <v>1</v>
      </c>
      <c r="I42" s="70">
        <v>0</v>
      </c>
      <c r="J42" s="62">
        <f t="shared" si="6"/>
        <v>57.56</v>
      </c>
      <c r="K42" s="62">
        <f t="shared" si="7"/>
        <v>1</v>
      </c>
      <c r="L42" s="62">
        <f t="shared" si="8"/>
        <v>1</v>
      </c>
      <c r="M42" s="63">
        <f t="shared" si="9"/>
        <v>57.56</v>
      </c>
    </row>
    <row r="43" spans="1:13" s="64" customFormat="1" ht="16.5" customHeight="1" x14ac:dyDescent="0.2">
      <c r="A43" s="56" t="s">
        <v>49</v>
      </c>
      <c r="B43" s="56" t="s">
        <v>50</v>
      </c>
      <c r="C43" s="57" t="s">
        <v>554</v>
      </c>
      <c r="D43" s="58">
        <v>21.81</v>
      </c>
      <c r="E43" s="58" t="s">
        <v>11</v>
      </c>
      <c r="F43" s="59" t="str">
        <f t="shared" si="5"/>
        <v>0022</v>
      </c>
      <c r="G43" s="60"/>
      <c r="H43" s="61">
        <v>0</v>
      </c>
      <c r="I43" s="61">
        <v>2</v>
      </c>
      <c r="J43" s="62">
        <f t="shared" si="6"/>
        <v>0</v>
      </c>
      <c r="K43" s="62">
        <f t="shared" si="7"/>
        <v>-2</v>
      </c>
      <c r="L43" s="62">
        <f t="shared" si="8"/>
        <v>-2</v>
      </c>
      <c r="M43" s="63">
        <f t="shared" si="9"/>
        <v>-43.62</v>
      </c>
    </row>
    <row r="44" spans="1:13" s="64" customFormat="1" ht="16.5" customHeight="1" x14ac:dyDescent="0.2">
      <c r="A44" s="65" t="s">
        <v>375</v>
      </c>
      <c r="B44" s="65" t="s">
        <v>376</v>
      </c>
      <c r="C44" s="66"/>
      <c r="D44" s="67">
        <v>1</v>
      </c>
      <c r="E44" s="67" t="s">
        <v>11</v>
      </c>
      <c r="F44" s="68" t="str">
        <f t="shared" si="5"/>
        <v>0022</v>
      </c>
      <c r="G44" s="69"/>
      <c r="H44" s="70">
        <v>28</v>
      </c>
      <c r="I44" s="70">
        <v>0</v>
      </c>
      <c r="J44" s="62">
        <f t="shared" si="6"/>
        <v>28</v>
      </c>
      <c r="K44" s="62">
        <f t="shared" si="7"/>
        <v>28</v>
      </c>
      <c r="L44" s="62">
        <f t="shared" si="8"/>
        <v>28</v>
      </c>
      <c r="M44" s="63">
        <f t="shared" si="9"/>
        <v>28</v>
      </c>
    </row>
    <row r="45" spans="1:13" s="64" customFormat="1" ht="16.5" customHeight="1" x14ac:dyDescent="0.2">
      <c r="A45" s="65" t="s">
        <v>381</v>
      </c>
      <c r="B45" s="65" t="s">
        <v>382</v>
      </c>
      <c r="C45" s="66" t="s">
        <v>16</v>
      </c>
      <c r="D45" s="67">
        <v>1</v>
      </c>
      <c r="E45" s="67" t="s">
        <v>11</v>
      </c>
      <c r="F45" s="68" t="str">
        <f t="shared" si="5"/>
        <v>0022</v>
      </c>
      <c r="G45" s="69"/>
      <c r="H45" s="70">
        <v>13</v>
      </c>
      <c r="I45" s="70">
        <v>0</v>
      </c>
      <c r="J45" s="62">
        <f t="shared" si="6"/>
        <v>13</v>
      </c>
      <c r="K45" s="62">
        <f t="shared" si="7"/>
        <v>13</v>
      </c>
      <c r="L45" s="62">
        <f t="shared" si="8"/>
        <v>13</v>
      </c>
      <c r="M45" s="63">
        <f t="shared" si="9"/>
        <v>13</v>
      </c>
    </row>
    <row r="46" spans="1:13" s="64" customFormat="1" ht="16.5" customHeight="1" x14ac:dyDescent="0.2">
      <c r="A46" s="56" t="s">
        <v>40</v>
      </c>
      <c r="B46" s="56" t="s">
        <v>41</v>
      </c>
      <c r="C46" s="57" t="s">
        <v>254</v>
      </c>
      <c r="D46" s="58">
        <v>2.91</v>
      </c>
      <c r="E46" s="58" t="s">
        <v>11</v>
      </c>
      <c r="F46" s="59" t="str">
        <f t="shared" si="5"/>
        <v>0022</v>
      </c>
      <c r="G46" s="60"/>
      <c r="H46" s="61">
        <v>0</v>
      </c>
      <c r="I46" s="61">
        <v>3</v>
      </c>
      <c r="J46" s="62">
        <f t="shared" si="6"/>
        <v>0</v>
      </c>
      <c r="K46" s="62">
        <f t="shared" si="7"/>
        <v>-3</v>
      </c>
      <c r="L46" s="62">
        <f t="shared" si="8"/>
        <v>-3</v>
      </c>
      <c r="M46" s="63">
        <f t="shared" si="9"/>
        <v>-8.73</v>
      </c>
    </row>
    <row r="47" spans="1:13" s="64" customFormat="1" ht="16.5" customHeight="1" x14ac:dyDescent="0.2">
      <c r="A47" s="65" t="s">
        <v>389</v>
      </c>
      <c r="B47" s="65" t="s">
        <v>390</v>
      </c>
      <c r="C47" s="66"/>
      <c r="D47" s="67">
        <v>1</v>
      </c>
      <c r="E47" s="67" t="s">
        <v>11</v>
      </c>
      <c r="F47" s="68" t="str">
        <f t="shared" si="5"/>
        <v>0022</v>
      </c>
      <c r="G47" s="69"/>
      <c r="H47" s="70">
        <v>3</v>
      </c>
      <c r="I47" s="70">
        <v>0</v>
      </c>
      <c r="J47" s="62">
        <f t="shared" si="6"/>
        <v>3</v>
      </c>
      <c r="K47" s="62">
        <f t="shared" si="7"/>
        <v>3</v>
      </c>
      <c r="L47" s="62">
        <f t="shared" si="8"/>
        <v>3</v>
      </c>
      <c r="M47" s="63">
        <f t="shared" si="9"/>
        <v>3</v>
      </c>
    </row>
    <row r="48" spans="1:13" s="64" customFormat="1" ht="16.5" customHeight="1" x14ac:dyDescent="0.2">
      <c r="A48" s="65" t="s">
        <v>78</v>
      </c>
      <c r="B48" s="65" t="s">
        <v>79</v>
      </c>
      <c r="C48" s="66" t="s">
        <v>330</v>
      </c>
      <c r="D48" s="67">
        <v>0</v>
      </c>
      <c r="E48" s="67" t="s">
        <v>11</v>
      </c>
      <c r="F48" s="68" t="str">
        <f t="shared" si="5"/>
        <v>0022</v>
      </c>
      <c r="G48" s="69"/>
      <c r="H48" s="70">
        <v>3</v>
      </c>
      <c r="I48" s="70">
        <v>0</v>
      </c>
      <c r="J48" s="62">
        <f t="shared" si="6"/>
        <v>0</v>
      </c>
      <c r="K48" s="62">
        <f t="shared" si="7"/>
        <v>3</v>
      </c>
      <c r="L48" s="62">
        <f t="shared" si="8"/>
        <v>3</v>
      </c>
      <c r="M48" s="63">
        <f t="shared" si="9"/>
        <v>0</v>
      </c>
    </row>
    <row r="49" spans="1:13" s="64" customFormat="1" ht="16.5" customHeight="1" x14ac:dyDescent="0.2">
      <c r="A49" s="65" t="s">
        <v>86</v>
      </c>
      <c r="B49" s="65" t="s">
        <v>87</v>
      </c>
      <c r="C49" s="66"/>
      <c r="D49" s="67">
        <v>0</v>
      </c>
      <c r="E49" s="67" t="s">
        <v>11</v>
      </c>
      <c r="F49" s="68" t="str">
        <f t="shared" si="5"/>
        <v>0022</v>
      </c>
      <c r="G49" s="69"/>
      <c r="H49" s="70">
        <v>272</v>
      </c>
      <c r="I49" s="70">
        <v>0</v>
      </c>
      <c r="J49" s="62">
        <f t="shared" si="6"/>
        <v>0</v>
      </c>
      <c r="K49" s="62">
        <f t="shared" si="7"/>
        <v>272</v>
      </c>
      <c r="L49" s="62">
        <f t="shared" si="8"/>
        <v>272</v>
      </c>
      <c r="M49" s="63">
        <f t="shared" si="9"/>
        <v>0</v>
      </c>
    </row>
    <row r="50" spans="1:13" s="64" customFormat="1" ht="16.5" customHeight="1" x14ac:dyDescent="0.2">
      <c r="A50" s="65" t="s">
        <v>627</v>
      </c>
      <c r="B50" s="65" t="s">
        <v>628</v>
      </c>
      <c r="C50" s="66"/>
      <c r="D50" s="67">
        <v>0</v>
      </c>
      <c r="E50" s="67" t="s">
        <v>11</v>
      </c>
      <c r="F50" s="68" t="str">
        <f t="shared" si="5"/>
        <v>0022</v>
      </c>
      <c r="G50" s="69"/>
      <c r="H50" s="70">
        <v>10</v>
      </c>
      <c r="I50" s="70">
        <v>0</v>
      </c>
      <c r="J50" s="62">
        <f t="shared" si="6"/>
        <v>0</v>
      </c>
      <c r="K50" s="62">
        <f t="shared" si="7"/>
        <v>10</v>
      </c>
      <c r="L50" s="62">
        <f t="shared" si="8"/>
        <v>10</v>
      </c>
      <c r="M50" s="63">
        <f t="shared" si="9"/>
        <v>0</v>
      </c>
    </row>
    <row r="51" spans="1:13" s="64" customFormat="1" ht="16.5" customHeight="1" x14ac:dyDescent="0.2">
      <c r="A51" s="65" t="s">
        <v>91</v>
      </c>
      <c r="B51" s="65" t="s">
        <v>92</v>
      </c>
      <c r="C51" s="66" t="s">
        <v>330</v>
      </c>
      <c r="D51" s="67">
        <v>0</v>
      </c>
      <c r="E51" s="67" t="s">
        <v>11</v>
      </c>
      <c r="F51" s="68" t="str">
        <f t="shared" si="5"/>
        <v>0022</v>
      </c>
      <c r="G51" s="69"/>
      <c r="H51" s="70">
        <v>4</v>
      </c>
      <c r="I51" s="70">
        <v>0</v>
      </c>
      <c r="J51" s="62">
        <f t="shared" si="6"/>
        <v>0</v>
      </c>
      <c r="K51" s="62">
        <f t="shared" si="7"/>
        <v>4</v>
      </c>
      <c r="L51" s="62">
        <f t="shared" si="8"/>
        <v>4</v>
      </c>
      <c r="M51" s="63">
        <f t="shared" si="9"/>
        <v>0</v>
      </c>
    </row>
    <row r="52" spans="1:13" s="64" customFormat="1" ht="16.5" customHeight="1" x14ac:dyDescent="0.2">
      <c r="A52" s="65" t="s">
        <v>629</v>
      </c>
      <c r="B52" s="65" t="s">
        <v>630</v>
      </c>
      <c r="C52" s="66"/>
      <c r="D52" s="67">
        <v>0</v>
      </c>
      <c r="E52" s="67" t="s">
        <v>11</v>
      </c>
      <c r="F52" s="68" t="str">
        <f t="shared" si="5"/>
        <v>0022</v>
      </c>
      <c r="G52" s="69"/>
      <c r="H52" s="70">
        <v>5</v>
      </c>
      <c r="I52" s="70">
        <v>0</v>
      </c>
      <c r="J52" s="62">
        <f t="shared" si="6"/>
        <v>0</v>
      </c>
      <c r="K52" s="62">
        <f t="shared" si="7"/>
        <v>5</v>
      </c>
      <c r="L52" s="62">
        <f t="shared" si="8"/>
        <v>5</v>
      </c>
      <c r="M52" s="63">
        <f t="shared" si="9"/>
        <v>0</v>
      </c>
    </row>
    <row r="53" spans="1:13" s="64" customFormat="1" ht="16.5" customHeight="1" x14ac:dyDescent="0.2">
      <c r="A53" s="65" t="s">
        <v>391</v>
      </c>
      <c r="B53" s="65" t="s">
        <v>392</v>
      </c>
      <c r="C53" s="66"/>
      <c r="D53" s="67">
        <v>0</v>
      </c>
      <c r="E53" s="67" t="s">
        <v>11</v>
      </c>
      <c r="F53" s="68" t="str">
        <f t="shared" si="5"/>
        <v>0022</v>
      </c>
      <c r="G53" s="69"/>
      <c r="H53" s="70">
        <v>8</v>
      </c>
      <c r="I53" s="70">
        <v>0</v>
      </c>
      <c r="J53" s="62">
        <f t="shared" si="6"/>
        <v>0</v>
      </c>
      <c r="K53" s="62">
        <f t="shared" si="7"/>
        <v>8</v>
      </c>
      <c r="L53" s="62">
        <f t="shared" si="8"/>
        <v>8</v>
      </c>
      <c r="M53" s="63">
        <f t="shared" si="9"/>
        <v>0</v>
      </c>
    </row>
    <row r="54" spans="1:13" s="64" customFormat="1" ht="16.5" customHeight="1" x14ac:dyDescent="0.2">
      <c r="A54" s="56"/>
      <c r="B54" s="56"/>
      <c r="C54" s="57"/>
      <c r="D54" s="58"/>
      <c r="E54" s="58"/>
      <c r="F54" s="59"/>
      <c r="G54" s="60"/>
      <c r="H54" s="61">
        <f t="shared" ref="H54:M54" si="10">SUM(H9:H53)</f>
        <v>9086</v>
      </c>
      <c r="I54" s="61">
        <f t="shared" si="10"/>
        <v>738</v>
      </c>
      <c r="J54" s="62">
        <f t="shared" si="10"/>
        <v>109433.69</v>
      </c>
      <c r="K54" s="62">
        <f t="shared" si="10"/>
        <v>8348</v>
      </c>
      <c r="L54" s="62">
        <f t="shared" si="10"/>
        <v>8348</v>
      </c>
      <c r="M54" s="63">
        <f t="shared" si="10"/>
        <v>86325.650000000009</v>
      </c>
    </row>
    <row r="55" spans="1:13" s="64" customFormat="1" ht="16.5" customHeight="1" x14ac:dyDescent="0.2"/>
    <row r="56" spans="1:13" s="64" customFormat="1" ht="16.5" customHeight="1" x14ac:dyDescent="0.2"/>
    <row r="57" spans="1:13" s="64" customFormat="1" ht="16.5" customHeight="1" x14ac:dyDescent="0.2"/>
    <row r="58" spans="1:13" s="64" customFormat="1" ht="16.5" customHeight="1" x14ac:dyDescent="0.2"/>
    <row r="59" spans="1:13" s="64" customFormat="1" ht="16.5" customHeight="1" x14ac:dyDescent="0.2"/>
    <row r="60" spans="1:13" s="64" customFormat="1" ht="16.5" customHeight="1" x14ac:dyDescent="0.2"/>
    <row r="61" spans="1:13" s="64" customFormat="1" ht="16.5" customHeight="1" x14ac:dyDescent="0.2"/>
    <row r="62" spans="1:13" s="64" customFormat="1" ht="16.5" customHeight="1" x14ac:dyDescent="0.2"/>
    <row r="63" spans="1:13" s="64" customFormat="1" ht="16.5" customHeight="1" x14ac:dyDescent="0.2"/>
    <row r="64" spans="1:13" s="64" customFormat="1" ht="16.5" customHeight="1" x14ac:dyDescent="0.2"/>
    <row r="65" s="64" customFormat="1" ht="16.5" customHeight="1" x14ac:dyDescent="0.2"/>
    <row r="66" s="64" customFormat="1" ht="16.5" customHeight="1" x14ac:dyDescent="0.2"/>
    <row r="67" s="64" customFormat="1" ht="16.5" customHeight="1" x14ac:dyDescent="0.2"/>
    <row r="68" s="64" customFormat="1" ht="16.5" customHeight="1" x14ac:dyDescent="0.2"/>
    <row r="69" s="64" customFormat="1" ht="16.5" customHeight="1" x14ac:dyDescent="0.2"/>
    <row r="70" s="64" customFormat="1" ht="16.5" customHeight="1" x14ac:dyDescent="0.2"/>
    <row r="71" s="64" customFormat="1" ht="16.5" customHeight="1" x14ac:dyDescent="0.2"/>
    <row r="72" s="64" customFormat="1" ht="16.5" customHeight="1" x14ac:dyDescent="0.2"/>
    <row r="73" s="64" customFormat="1" ht="16.5" customHeight="1" x14ac:dyDescent="0.2"/>
    <row r="74" s="64" customFormat="1" ht="16.5" customHeight="1" x14ac:dyDescent="0.2"/>
    <row r="75" s="64" customFormat="1" ht="16.5" customHeight="1" x14ac:dyDescent="0.2"/>
    <row r="76" s="64" customFormat="1" ht="16.5" customHeight="1" x14ac:dyDescent="0.2"/>
    <row r="77" s="64" customFormat="1" ht="16.5" customHeight="1" x14ac:dyDescent="0.2"/>
    <row r="78" s="64" customFormat="1" ht="16.5" customHeight="1" x14ac:dyDescent="0.2"/>
    <row r="79" s="64" customFormat="1" ht="16.5" customHeight="1" x14ac:dyDescent="0.2"/>
    <row r="80" s="64" customFormat="1" ht="16.5" customHeight="1" x14ac:dyDescent="0.2"/>
    <row r="81" s="64" customFormat="1" ht="16.5" customHeight="1" x14ac:dyDescent="0.2"/>
    <row r="82" s="64" customFormat="1" ht="16.5" customHeight="1" x14ac:dyDescent="0.2"/>
    <row r="83" s="64" customFormat="1" ht="16.5" customHeight="1" x14ac:dyDescent="0.2"/>
    <row r="84" s="64" customFormat="1" ht="16.5" customHeight="1" x14ac:dyDescent="0.2"/>
    <row r="85" s="64" customFormat="1" ht="16.5" customHeight="1" x14ac:dyDescent="0.2"/>
    <row r="86" s="64" customFormat="1" ht="16.5" customHeight="1" x14ac:dyDescent="0.2"/>
    <row r="87" s="64" customFormat="1" ht="16.5" customHeight="1" x14ac:dyDescent="0.2"/>
    <row r="88" s="64" customFormat="1" ht="16.5" customHeight="1" x14ac:dyDescent="0.2"/>
    <row r="89" s="64" customFormat="1" ht="16.5" customHeight="1" x14ac:dyDescent="0.2"/>
    <row r="90" s="64" customFormat="1" ht="16.5" customHeight="1" x14ac:dyDescent="0.2"/>
    <row r="91" s="64" customFormat="1" ht="16.5" customHeight="1" x14ac:dyDescent="0.2"/>
    <row r="92" s="64" customFormat="1" ht="16.5" customHeight="1" x14ac:dyDescent="0.2"/>
    <row r="93" s="64" customFormat="1" ht="16.5" customHeight="1" x14ac:dyDescent="0.2"/>
    <row r="94" s="64" customFormat="1" ht="16.5" customHeight="1" x14ac:dyDescent="0.2"/>
    <row r="95" s="64" customFormat="1" ht="16.5" customHeight="1" x14ac:dyDescent="0.2"/>
    <row r="96" s="64" customFormat="1" ht="16.5" customHeight="1" x14ac:dyDescent="0.2"/>
    <row r="97" s="64" customFormat="1" ht="16.5" customHeight="1" x14ac:dyDescent="0.2"/>
    <row r="98" s="64" customFormat="1" ht="16.5" customHeight="1" x14ac:dyDescent="0.2"/>
    <row r="99" s="64" customFormat="1" ht="16.5" customHeight="1" x14ac:dyDescent="0.2"/>
    <row r="100" s="64" customFormat="1" ht="16.5" customHeight="1" x14ac:dyDescent="0.2"/>
    <row r="101" s="64" customFormat="1" ht="16.5" customHeight="1" x14ac:dyDescent="0.2"/>
    <row r="102" s="64" customFormat="1" ht="16.5" customHeight="1" x14ac:dyDescent="0.2"/>
    <row r="103" s="64" customFormat="1" ht="16.5" customHeight="1" x14ac:dyDescent="0.2"/>
    <row r="104" s="64" customFormat="1" ht="16.5" customHeight="1" x14ac:dyDescent="0.2"/>
    <row r="105" s="64" customFormat="1" ht="16.5" customHeight="1" x14ac:dyDescent="0.2"/>
    <row r="106" s="64" customFormat="1" ht="16.5" customHeight="1" x14ac:dyDescent="0.2"/>
    <row r="107" s="64" customFormat="1" ht="16.5" customHeight="1" x14ac:dyDescent="0.2"/>
    <row r="108" s="64" customFormat="1" ht="16.5" customHeight="1" x14ac:dyDescent="0.2"/>
    <row r="109" s="64" customFormat="1" ht="16.5" customHeight="1" x14ac:dyDescent="0.2"/>
    <row r="110" s="64" customFormat="1" ht="16.5" customHeight="1" x14ac:dyDescent="0.2"/>
    <row r="111" s="64" customFormat="1" ht="16.5" customHeight="1" x14ac:dyDescent="0.2"/>
    <row r="112" s="64" customFormat="1" ht="16.5" customHeight="1" x14ac:dyDescent="0.2"/>
    <row r="113" s="64" customFormat="1" ht="16.5" customHeight="1" x14ac:dyDescent="0.2"/>
    <row r="114" s="64" customFormat="1" ht="16.5" customHeight="1" x14ac:dyDescent="0.2"/>
    <row r="115" s="64" customFormat="1" ht="16.5" customHeight="1" x14ac:dyDescent="0.2"/>
    <row r="116" s="64" customFormat="1" ht="16.5" customHeight="1" x14ac:dyDescent="0.2"/>
    <row r="117" s="64" customFormat="1" ht="16.5" customHeight="1" x14ac:dyDescent="0.2"/>
    <row r="118" s="64" customFormat="1" ht="16.5" customHeight="1" x14ac:dyDescent="0.2"/>
    <row r="119" s="64" customFormat="1" ht="16.5" customHeight="1" x14ac:dyDescent="0.2"/>
    <row r="120" s="64" customFormat="1" ht="16.5" customHeight="1" x14ac:dyDescent="0.2"/>
    <row r="121" s="64" customFormat="1" ht="16.5" customHeight="1" x14ac:dyDescent="0.2"/>
    <row r="122" s="64" customFormat="1" ht="16.5" customHeight="1" x14ac:dyDescent="0.2"/>
    <row r="123" ht="18" customHeight="1" x14ac:dyDescent="0.25"/>
    <row r="124" ht="15.75" customHeight="1" x14ac:dyDescent="0.25"/>
  </sheetData>
  <autoFilter ref="A5:M54" xr:uid="{00000000-0001-0000-0A00-000000000000}">
    <filterColumn colId="11" showButton="0"/>
  </autoFilter>
  <mergeCells count="12">
    <mergeCell ref="G6:G7"/>
    <mergeCell ref="K6:L6"/>
    <mergeCell ref="A6:A7"/>
    <mergeCell ref="B6:B7"/>
    <mergeCell ref="C6:C7"/>
    <mergeCell ref="E6:E7"/>
    <mergeCell ref="F6:F7"/>
    <mergeCell ref="A1:B3"/>
    <mergeCell ref="C1:M1"/>
    <mergeCell ref="C2:M2"/>
    <mergeCell ref="C3:I3"/>
    <mergeCell ref="L5:M5"/>
  </mergeCells>
  <conditionalFormatting sqref="A1 A5:B5 A123:A65525">
    <cfRule type="cellIs" dxfId="19" priority="9" operator="greaterThan">
      <formula>1</formula>
    </cfRule>
  </conditionalFormatting>
  <conditionalFormatting sqref="A6:A8">
    <cfRule type="cellIs" dxfId="18" priority="2" operator="greaterThan">
      <formula>1</formula>
    </cfRule>
  </conditionalFormatting>
  <conditionalFormatting sqref="A4:B4 L4:M4">
    <cfRule type="cellIs" dxfId="17" priority="10" operator="equal">
      <formula>12</formula>
    </cfRule>
    <cfRule type="cellIs" dxfId="16" priority="11" operator="equal">
      <formula>17</formula>
    </cfRule>
    <cfRule type="cellIs" dxfId="15" priority="12" operator="equal">
      <formula>5</formula>
    </cfRule>
  </conditionalFormatting>
  <conditionalFormatting sqref="C4:G5 C6 E6:G6 D6:D7 C8:G8 C123:G65525">
    <cfRule type="cellIs" dxfId="14" priority="8" operator="greaterThanOrEqual">
      <formula>0.01</formula>
    </cfRule>
  </conditionalFormatting>
  <conditionalFormatting sqref="K9:L122">
    <cfRule type="cellIs" dxfId="13" priority="5" operator="equal">
      <formula>0</formula>
    </cfRule>
  </conditionalFormatting>
  <conditionalFormatting sqref="M9:M123 J123">
    <cfRule type="cellIs" dxfId="12" priority="6" operator="greaterThanOrEqual">
      <formula>0</formula>
    </cfRule>
    <cfRule type="cellIs" dxfId="11" priority="7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VR135"/>
  <sheetViews>
    <sheetView zoomScaleNormal="100" workbookViewId="0">
      <selection sqref="A1:XFD1048576"/>
    </sheetView>
  </sheetViews>
  <sheetFormatPr defaultColWidth="11.42578125" defaultRowHeight="15" x14ac:dyDescent="0.25"/>
  <cols>
    <col min="1" max="1" width="9.5703125" style="1" customWidth="1"/>
    <col min="2" max="2" width="50.7109375" style="2" customWidth="1"/>
    <col min="3" max="3" width="12.28515625" style="3" customWidth="1"/>
    <col min="4" max="4" width="8" style="4" customWidth="1"/>
    <col min="5" max="5" width="6.7109375" style="5" customWidth="1"/>
    <col min="6" max="6" width="12.7109375" style="4" customWidth="1"/>
    <col min="7" max="7" width="12.7109375" style="5" customWidth="1"/>
    <col min="8" max="8" width="20.7109375" style="6" customWidth="1"/>
    <col min="9" max="9" width="12.7109375" style="7" customWidth="1"/>
    <col min="10" max="10" width="12.7109375" style="5" hidden="1" customWidth="1"/>
    <col min="11" max="12" width="12.7109375" style="8" customWidth="1"/>
    <col min="13" max="13" width="12.7109375" style="5" customWidth="1"/>
    <col min="14" max="256" width="11.42578125" style="9"/>
    <col min="257" max="257" width="9.5703125" style="9" customWidth="1"/>
    <col min="258" max="258" width="50.7109375" style="9" customWidth="1"/>
    <col min="259" max="259" width="12.28515625" style="9" customWidth="1"/>
    <col min="260" max="260" width="8" style="9" customWidth="1"/>
    <col min="261" max="261" width="6.7109375" style="9" customWidth="1"/>
    <col min="262" max="263" width="12.7109375" style="9" customWidth="1"/>
    <col min="264" max="264" width="20.7109375" style="9" customWidth="1"/>
    <col min="265" max="265" width="12.7109375" style="9" customWidth="1"/>
    <col min="266" max="266" width="11.5703125" style="9" hidden="1" customWidth="1"/>
    <col min="267" max="269" width="12.7109375" style="9" customWidth="1"/>
    <col min="270" max="512" width="11.42578125" style="9"/>
    <col min="513" max="513" width="9.5703125" style="9" customWidth="1"/>
    <col min="514" max="514" width="50.7109375" style="9" customWidth="1"/>
    <col min="515" max="515" width="12.28515625" style="9" customWidth="1"/>
    <col min="516" max="516" width="8" style="9" customWidth="1"/>
    <col min="517" max="517" width="6.7109375" style="9" customWidth="1"/>
    <col min="518" max="519" width="12.7109375" style="9" customWidth="1"/>
    <col min="520" max="520" width="20.7109375" style="9" customWidth="1"/>
    <col min="521" max="521" width="12.7109375" style="9" customWidth="1"/>
    <col min="522" max="522" width="11.5703125" style="9" hidden="1" customWidth="1"/>
    <col min="523" max="525" width="12.7109375" style="9" customWidth="1"/>
    <col min="526" max="768" width="11.42578125" style="9"/>
    <col min="769" max="769" width="9.5703125" style="9" customWidth="1"/>
    <col min="770" max="770" width="50.7109375" style="9" customWidth="1"/>
    <col min="771" max="771" width="12.28515625" style="9" customWidth="1"/>
    <col min="772" max="772" width="8" style="9" customWidth="1"/>
    <col min="773" max="773" width="6.7109375" style="9" customWidth="1"/>
    <col min="774" max="775" width="12.7109375" style="9" customWidth="1"/>
    <col min="776" max="776" width="20.7109375" style="9" customWidth="1"/>
    <col min="777" max="777" width="12.7109375" style="9" customWidth="1"/>
    <col min="778" max="778" width="11.5703125" style="9" hidden="1" customWidth="1"/>
    <col min="779" max="781" width="12.7109375" style="9" customWidth="1"/>
    <col min="782" max="1024" width="11.42578125" style="9"/>
    <col min="1025" max="1025" width="9.5703125" style="9" customWidth="1"/>
    <col min="1026" max="1026" width="50.7109375" style="9" customWidth="1"/>
    <col min="1027" max="1027" width="12.28515625" style="9" customWidth="1"/>
    <col min="1028" max="1028" width="8" style="9" customWidth="1"/>
    <col min="1029" max="1029" width="6.7109375" style="9" customWidth="1"/>
    <col min="1030" max="1031" width="12.7109375" style="9" customWidth="1"/>
    <col min="1032" max="1032" width="20.7109375" style="9" customWidth="1"/>
    <col min="1033" max="1033" width="12.7109375" style="9" customWidth="1"/>
    <col min="1034" max="1034" width="11.5703125" style="9" hidden="1" customWidth="1"/>
    <col min="1035" max="1037" width="12.7109375" style="9" customWidth="1"/>
    <col min="1038" max="1280" width="11.42578125" style="9"/>
    <col min="1281" max="1281" width="9.5703125" style="9" customWidth="1"/>
    <col min="1282" max="1282" width="50.7109375" style="9" customWidth="1"/>
    <col min="1283" max="1283" width="12.28515625" style="9" customWidth="1"/>
    <col min="1284" max="1284" width="8" style="9" customWidth="1"/>
    <col min="1285" max="1285" width="6.7109375" style="9" customWidth="1"/>
    <col min="1286" max="1287" width="12.7109375" style="9" customWidth="1"/>
    <col min="1288" max="1288" width="20.7109375" style="9" customWidth="1"/>
    <col min="1289" max="1289" width="12.7109375" style="9" customWidth="1"/>
    <col min="1290" max="1290" width="11.5703125" style="9" hidden="1" customWidth="1"/>
    <col min="1291" max="1293" width="12.7109375" style="9" customWidth="1"/>
    <col min="1294" max="1536" width="11.42578125" style="9"/>
    <col min="1537" max="1537" width="9.5703125" style="9" customWidth="1"/>
    <col min="1538" max="1538" width="50.7109375" style="9" customWidth="1"/>
    <col min="1539" max="1539" width="12.28515625" style="9" customWidth="1"/>
    <col min="1540" max="1540" width="8" style="9" customWidth="1"/>
    <col min="1541" max="1541" width="6.7109375" style="9" customWidth="1"/>
    <col min="1542" max="1543" width="12.7109375" style="9" customWidth="1"/>
    <col min="1544" max="1544" width="20.7109375" style="9" customWidth="1"/>
    <col min="1545" max="1545" width="12.7109375" style="9" customWidth="1"/>
    <col min="1546" max="1546" width="11.5703125" style="9" hidden="1" customWidth="1"/>
    <col min="1547" max="1549" width="12.7109375" style="9" customWidth="1"/>
    <col min="1550" max="1792" width="11.42578125" style="9"/>
    <col min="1793" max="1793" width="9.5703125" style="9" customWidth="1"/>
    <col min="1794" max="1794" width="50.7109375" style="9" customWidth="1"/>
    <col min="1795" max="1795" width="12.28515625" style="9" customWidth="1"/>
    <col min="1796" max="1796" width="8" style="9" customWidth="1"/>
    <col min="1797" max="1797" width="6.7109375" style="9" customWidth="1"/>
    <col min="1798" max="1799" width="12.7109375" style="9" customWidth="1"/>
    <col min="1800" max="1800" width="20.7109375" style="9" customWidth="1"/>
    <col min="1801" max="1801" width="12.7109375" style="9" customWidth="1"/>
    <col min="1802" max="1802" width="11.5703125" style="9" hidden="1" customWidth="1"/>
    <col min="1803" max="1805" width="12.7109375" style="9" customWidth="1"/>
    <col min="1806" max="2048" width="11.42578125" style="9"/>
    <col min="2049" max="2049" width="9.5703125" style="9" customWidth="1"/>
    <col min="2050" max="2050" width="50.7109375" style="9" customWidth="1"/>
    <col min="2051" max="2051" width="12.28515625" style="9" customWidth="1"/>
    <col min="2052" max="2052" width="8" style="9" customWidth="1"/>
    <col min="2053" max="2053" width="6.7109375" style="9" customWidth="1"/>
    <col min="2054" max="2055" width="12.7109375" style="9" customWidth="1"/>
    <col min="2056" max="2056" width="20.7109375" style="9" customWidth="1"/>
    <col min="2057" max="2057" width="12.7109375" style="9" customWidth="1"/>
    <col min="2058" max="2058" width="11.5703125" style="9" hidden="1" customWidth="1"/>
    <col min="2059" max="2061" width="12.7109375" style="9" customWidth="1"/>
    <col min="2062" max="2304" width="11.42578125" style="9"/>
    <col min="2305" max="2305" width="9.5703125" style="9" customWidth="1"/>
    <col min="2306" max="2306" width="50.7109375" style="9" customWidth="1"/>
    <col min="2307" max="2307" width="12.28515625" style="9" customWidth="1"/>
    <col min="2308" max="2308" width="8" style="9" customWidth="1"/>
    <col min="2309" max="2309" width="6.7109375" style="9" customWidth="1"/>
    <col min="2310" max="2311" width="12.7109375" style="9" customWidth="1"/>
    <col min="2312" max="2312" width="20.7109375" style="9" customWidth="1"/>
    <col min="2313" max="2313" width="12.7109375" style="9" customWidth="1"/>
    <col min="2314" max="2314" width="11.5703125" style="9" hidden="1" customWidth="1"/>
    <col min="2315" max="2317" width="12.7109375" style="9" customWidth="1"/>
    <col min="2318" max="2560" width="11.42578125" style="9"/>
    <col min="2561" max="2561" width="9.5703125" style="9" customWidth="1"/>
    <col min="2562" max="2562" width="50.7109375" style="9" customWidth="1"/>
    <col min="2563" max="2563" width="12.28515625" style="9" customWidth="1"/>
    <col min="2564" max="2564" width="8" style="9" customWidth="1"/>
    <col min="2565" max="2565" width="6.7109375" style="9" customWidth="1"/>
    <col min="2566" max="2567" width="12.7109375" style="9" customWidth="1"/>
    <col min="2568" max="2568" width="20.7109375" style="9" customWidth="1"/>
    <col min="2569" max="2569" width="12.7109375" style="9" customWidth="1"/>
    <col min="2570" max="2570" width="11.5703125" style="9" hidden="1" customWidth="1"/>
    <col min="2571" max="2573" width="12.7109375" style="9" customWidth="1"/>
    <col min="2574" max="2816" width="11.42578125" style="9"/>
    <col min="2817" max="2817" width="9.5703125" style="9" customWidth="1"/>
    <col min="2818" max="2818" width="50.7109375" style="9" customWidth="1"/>
    <col min="2819" max="2819" width="12.28515625" style="9" customWidth="1"/>
    <col min="2820" max="2820" width="8" style="9" customWidth="1"/>
    <col min="2821" max="2821" width="6.7109375" style="9" customWidth="1"/>
    <col min="2822" max="2823" width="12.7109375" style="9" customWidth="1"/>
    <col min="2824" max="2824" width="20.7109375" style="9" customWidth="1"/>
    <col min="2825" max="2825" width="12.7109375" style="9" customWidth="1"/>
    <col min="2826" max="2826" width="11.5703125" style="9" hidden="1" customWidth="1"/>
    <col min="2827" max="2829" width="12.7109375" style="9" customWidth="1"/>
    <col min="2830" max="3072" width="11.42578125" style="9"/>
    <col min="3073" max="3073" width="9.5703125" style="9" customWidth="1"/>
    <col min="3074" max="3074" width="50.7109375" style="9" customWidth="1"/>
    <col min="3075" max="3075" width="12.28515625" style="9" customWidth="1"/>
    <col min="3076" max="3076" width="8" style="9" customWidth="1"/>
    <col min="3077" max="3077" width="6.7109375" style="9" customWidth="1"/>
    <col min="3078" max="3079" width="12.7109375" style="9" customWidth="1"/>
    <col min="3080" max="3080" width="20.7109375" style="9" customWidth="1"/>
    <col min="3081" max="3081" width="12.7109375" style="9" customWidth="1"/>
    <col min="3082" max="3082" width="11.5703125" style="9" hidden="1" customWidth="1"/>
    <col min="3083" max="3085" width="12.7109375" style="9" customWidth="1"/>
    <col min="3086" max="3328" width="11.42578125" style="9"/>
    <col min="3329" max="3329" width="9.5703125" style="9" customWidth="1"/>
    <col min="3330" max="3330" width="50.7109375" style="9" customWidth="1"/>
    <col min="3331" max="3331" width="12.28515625" style="9" customWidth="1"/>
    <col min="3332" max="3332" width="8" style="9" customWidth="1"/>
    <col min="3333" max="3333" width="6.7109375" style="9" customWidth="1"/>
    <col min="3334" max="3335" width="12.7109375" style="9" customWidth="1"/>
    <col min="3336" max="3336" width="20.7109375" style="9" customWidth="1"/>
    <col min="3337" max="3337" width="12.7109375" style="9" customWidth="1"/>
    <col min="3338" max="3338" width="11.5703125" style="9" hidden="1" customWidth="1"/>
    <col min="3339" max="3341" width="12.7109375" style="9" customWidth="1"/>
    <col min="3342" max="3584" width="11.42578125" style="9"/>
    <col min="3585" max="3585" width="9.5703125" style="9" customWidth="1"/>
    <col min="3586" max="3586" width="50.7109375" style="9" customWidth="1"/>
    <col min="3587" max="3587" width="12.28515625" style="9" customWidth="1"/>
    <col min="3588" max="3588" width="8" style="9" customWidth="1"/>
    <col min="3589" max="3589" width="6.7109375" style="9" customWidth="1"/>
    <col min="3590" max="3591" width="12.7109375" style="9" customWidth="1"/>
    <col min="3592" max="3592" width="20.7109375" style="9" customWidth="1"/>
    <col min="3593" max="3593" width="12.7109375" style="9" customWidth="1"/>
    <col min="3594" max="3594" width="11.5703125" style="9" hidden="1" customWidth="1"/>
    <col min="3595" max="3597" width="12.7109375" style="9" customWidth="1"/>
    <col min="3598" max="3840" width="11.42578125" style="9"/>
    <col min="3841" max="3841" width="9.5703125" style="9" customWidth="1"/>
    <col min="3842" max="3842" width="50.7109375" style="9" customWidth="1"/>
    <col min="3843" max="3843" width="12.28515625" style="9" customWidth="1"/>
    <col min="3844" max="3844" width="8" style="9" customWidth="1"/>
    <col min="3845" max="3845" width="6.7109375" style="9" customWidth="1"/>
    <col min="3846" max="3847" width="12.7109375" style="9" customWidth="1"/>
    <col min="3848" max="3848" width="20.7109375" style="9" customWidth="1"/>
    <col min="3849" max="3849" width="12.7109375" style="9" customWidth="1"/>
    <col min="3850" max="3850" width="11.5703125" style="9" hidden="1" customWidth="1"/>
    <col min="3851" max="3853" width="12.7109375" style="9" customWidth="1"/>
    <col min="3854" max="4096" width="11.42578125" style="9"/>
    <col min="4097" max="4097" width="9.5703125" style="9" customWidth="1"/>
    <col min="4098" max="4098" width="50.7109375" style="9" customWidth="1"/>
    <col min="4099" max="4099" width="12.28515625" style="9" customWidth="1"/>
    <col min="4100" max="4100" width="8" style="9" customWidth="1"/>
    <col min="4101" max="4101" width="6.7109375" style="9" customWidth="1"/>
    <col min="4102" max="4103" width="12.7109375" style="9" customWidth="1"/>
    <col min="4104" max="4104" width="20.7109375" style="9" customWidth="1"/>
    <col min="4105" max="4105" width="12.7109375" style="9" customWidth="1"/>
    <col min="4106" max="4106" width="11.5703125" style="9" hidden="1" customWidth="1"/>
    <col min="4107" max="4109" width="12.7109375" style="9" customWidth="1"/>
    <col min="4110" max="4352" width="11.42578125" style="9"/>
    <col min="4353" max="4353" width="9.5703125" style="9" customWidth="1"/>
    <col min="4354" max="4354" width="50.7109375" style="9" customWidth="1"/>
    <col min="4355" max="4355" width="12.28515625" style="9" customWidth="1"/>
    <col min="4356" max="4356" width="8" style="9" customWidth="1"/>
    <col min="4357" max="4357" width="6.7109375" style="9" customWidth="1"/>
    <col min="4358" max="4359" width="12.7109375" style="9" customWidth="1"/>
    <col min="4360" max="4360" width="20.7109375" style="9" customWidth="1"/>
    <col min="4361" max="4361" width="12.7109375" style="9" customWidth="1"/>
    <col min="4362" max="4362" width="11.5703125" style="9" hidden="1" customWidth="1"/>
    <col min="4363" max="4365" width="12.7109375" style="9" customWidth="1"/>
    <col min="4366" max="4608" width="11.42578125" style="9"/>
    <col min="4609" max="4609" width="9.5703125" style="9" customWidth="1"/>
    <col min="4610" max="4610" width="50.7109375" style="9" customWidth="1"/>
    <col min="4611" max="4611" width="12.28515625" style="9" customWidth="1"/>
    <col min="4612" max="4612" width="8" style="9" customWidth="1"/>
    <col min="4613" max="4613" width="6.7109375" style="9" customWidth="1"/>
    <col min="4614" max="4615" width="12.7109375" style="9" customWidth="1"/>
    <col min="4616" max="4616" width="20.7109375" style="9" customWidth="1"/>
    <col min="4617" max="4617" width="12.7109375" style="9" customWidth="1"/>
    <col min="4618" max="4618" width="11.5703125" style="9" hidden="1" customWidth="1"/>
    <col min="4619" max="4621" width="12.7109375" style="9" customWidth="1"/>
    <col min="4622" max="4864" width="11.42578125" style="9"/>
    <col min="4865" max="4865" width="9.5703125" style="9" customWidth="1"/>
    <col min="4866" max="4866" width="50.7109375" style="9" customWidth="1"/>
    <col min="4867" max="4867" width="12.28515625" style="9" customWidth="1"/>
    <col min="4868" max="4868" width="8" style="9" customWidth="1"/>
    <col min="4869" max="4869" width="6.7109375" style="9" customWidth="1"/>
    <col min="4870" max="4871" width="12.7109375" style="9" customWidth="1"/>
    <col min="4872" max="4872" width="20.7109375" style="9" customWidth="1"/>
    <col min="4873" max="4873" width="12.7109375" style="9" customWidth="1"/>
    <col min="4874" max="4874" width="11.5703125" style="9" hidden="1" customWidth="1"/>
    <col min="4875" max="4877" width="12.7109375" style="9" customWidth="1"/>
    <col min="4878" max="5120" width="11.42578125" style="9"/>
    <col min="5121" max="5121" width="9.5703125" style="9" customWidth="1"/>
    <col min="5122" max="5122" width="50.7109375" style="9" customWidth="1"/>
    <col min="5123" max="5123" width="12.28515625" style="9" customWidth="1"/>
    <col min="5124" max="5124" width="8" style="9" customWidth="1"/>
    <col min="5125" max="5125" width="6.7109375" style="9" customWidth="1"/>
    <col min="5126" max="5127" width="12.7109375" style="9" customWidth="1"/>
    <col min="5128" max="5128" width="20.7109375" style="9" customWidth="1"/>
    <col min="5129" max="5129" width="12.7109375" style="9" customWidth="1"/>
    <col min="5130" max="5130" width="11.5703125" style="9" hidden="1" customWidth="1"/>
    <col min="5131" max="5133" width="12.7109375" style="9" customWidth="1"/>
    <col min="5134" max="5376" width="11.42578125" style="9"/>
    <col min="5377" max="5377" width="9.5703125" style="9" customWidth="1"/>
    <col min="5378" max="5378" width="50.7109375" style="9" customWidth="1"/>
    <col min="5379" max="5379" width="12.28515625" style="9" customWidth="1"/>
    <col min="5380" max="5380" width="8" style="9" customWidth="1"/>
    <col min="5381" max="5381" width="6.7109375" style="9" customWidth="1"/>
    <col min="5382" max="5383" width="12.7109375" style="9" customWidth="1"/>
    <col min="5384" max="5384" width="20.7109375" style="9" customWidth="1"/>
    <col min="5385" max="5385" width="12.7109375" style="9" customWidth="1"/>
    <col min="5386" max="5386" width="11.5703125" style="9" hidden="1" customWidth="1"/>
    <col min="5387" max="5389" width="12.7109375" style="9" customWidth="1"/>
    <col min="5390" max="5632" width="11.42578125" style="9"/>
    <col min="5633" max="5633" width="9.5703125" style="9" customWidth="1"/>
    <col min="5634" max="5634" width="50.7109375" style="9" customWidth="1"/>
    <col min="5635" max="5635" width="12.28515625" style="9" customWidth="1"/>
    <col min="5636" max="5636" width="8" style="9" customWidth="1"/>
    <col min="5637" max="5637" width="6.7109375" style="9" customWidth="1"/>
    <col min="5638" max="5639" width="12.7109375" style="9" customWidth="1"/>
    <col min="5640" max="5640" width="20.7109375" style="9" customWidth="1"/>
    <col min="5641" max="5641" width="12.7109375" style="9" customWidth="1"/>
    <col min="5642" max="5642" width="11.5703125" style="9" hidden="1" customWidth="1"/>
    <col min="5643" max="5645" width="12.7109375" style="9" customWidth="1"/>
    <col min="5646" max="5888" width="11.42578125" style="9"/>
    <col min="5889" max="5889" width="9.5703125" style="9" customWidth="1"/>
    <col min="5890" max="5890" width="50.7109375" style="9" customWidth="1"/>
    <col min="5891" max="5891" width="12.28515625" style="9" customWidth="1"/>
    <col min="5892" max="5892" width="8" style="9" customWidth="1"/>
    <col min="5893" max="5893" width="6.7109375" style="9" customWidth="1"/>
    <col min="5894" max="5895" width="12.7109375" style="9" customWidth="1"/>
    <col min="5896" max="5896" width="20.7109375" style="9" customWidth="1"/>
    <col min="5897" max="5897" width="12.7109375" style="9" customWidth="1"/>
    <col min="5898" max="5898" width="11.5703125" style="9" hidden="1" customWidth="1"/>
    <col min="5899" max="5901" width="12.7109375" style="9" customWidth="1"/>
    <col min="5902" max="6144" width="11.42578125" style="9"/>
    <col min="6145" max="6145" width="9.5703125" style="9" customWidth="1"/>
    <col min="6146" max="6146" width="50.7109375" style="9" customWidth="1"/>
    <col min="6147" max="6147" width="12.28515625" style="9" customWidth="1"/>
    <col min="6148" max="6148" width="8" style="9" customWidth="1"/>
    <col min="6149" max="6149" width="6.7109375" style="9" customWidth="1"/>
    <col min="6150" max="6151" width="12.7109375" style="9" customWidth="1"/>
    <col min="6152" max="6152" width="20.7109375" style="9" customWidth="1"/>
    <col min="6153" max="6153" width="12.7109375" style="9" customWidth="1"/>
    <col min="6154" max="6154" width="11.5703125" style="9" hidden="1" customWidth="1"/>
    <col min="6155" max="6157" width="12.7109375" style="9" customWidth="1"/>
    <col min="6158" max="6400" width="11.42578125" style="9"/>
    <col min="6401" max="6401" width="9.5703125" style="9" customWidth="1"/>
    <col min="6402" max="6402" width="50.7109375" style="9" customWidth="1"/>
    <col min="6403" max="6403" width="12.28515625" style="9" customWidth="1"/>
    <col min="6404" max="6404" width="8" style="9" customWidth="1"/>
    <col min="6405" max="6405" width="6.7109375" style="9" customWidth="1"/>
    <col min="6406" max="6407" width="12.7109375" style="9" customWidth="1"/>
    <col min="6408" max="6408" width="20.7109375" style="9" customWidth="1"/>
    <col min="6409" max="6409" width="12.7109375" style="9" customWidth="1"/>
    <col min="6410" max="6410" width="11.5703125" style="9" hidden="1" customWidth="1"/>
    <col min="6411" max="6413" width="12.7109375" style="9" customWidth="1"/>
    <col min="6414" max="6656" width="11.42578125" style="9"/>
    <col min="6657" max="6657" width="9.5703125" style="9" customWidth="1"/>
    <col min="6658" max="6658" width="50.7109375" style="9" customWidth="1"/>
    <col min="6659" max="6659" width="12.28515625" style="9" customWidth="1"/>
    <col min="6660" max="6660" width="8" style="9" customWidth="1"/>
    <col min="6661" max="6661" width="6.7109375" style="9" customWidth="1"/>
    <col min="6662" max="6663" width="12.7109375" style="9" customWidth="1"/>
    <col min="6664" max="6664" width="20.7109375" style="9" customWidth="1"/>
    <col min="6665" max="6665" width="12.7109375" style="9" customWidth="1"/>
    <col min="6666" max="6666" width="11.5703125" style="9" hidden="1" customWidth="1"/>
    <col min="6667" max="6669" width="12.7109375" style="9" customWidth="1"/>
    <col min="6670" max="6912" width="11.42578125" style="9"/>
    <col min="6913" max="6913" width="9.5703125" style="9" customWidth="1"/>
    <col min="6914" max="6914" width="50.7109375" style="9" customWidth="1"/>
    <col min="6915" max="6915" width="12.28515625" style="9" customWidth="1"/>
    <col min="6916" max="6916" width="8" style="9" customWidth="1"/>
    <col min="6917" max="6917" width="6.7109375" style="9" customWidth="1"/>
    <col min="6918" max="6919" width="12.7109375" style="9" customWidth="1"/>
    <col min="6920" max="6920" width="20.7109375" style="9" customWidth="1"/>
    <col min="6921" max="6921" width="12.7109375" style="9" customWidth="1"/>
    <col min="6922" max="6922" width="11.5703125" style="9" hidden="1" customWidth="1"/>
    <col min="6923" max="6925" width="12.7109375" style="9" customWidth="1"/>
    <col min="6926" max="7168" width="11.42578125" style="9"/>
    <col min="7169" max="7169" width="9.5703125" style="9" customWidth="1"/>
    <col min="7170" max="7170" width="50.7109375" style="9" customWidth="1"/>
    <col min="7171" max="7171" width="12.28515625" style="9" customWidth="1"/>
    <col min="7172" max="7172" width="8" style="9" customWidth="1"/>
    <col min="7173" max="7173" width="6.7109375" style="9" customWidth="1"/>
    <col min="7174" max="7175" width="12.7109375" style="9" customWidth="1"/>
    <col min="7176" max="7176" width="20.7109375" style="9" customWidth="1"/>
    <col min="7177" max="7177" width="12.7109375" style="9" customWidth="1"/>
    <col min="7178" max="7178" width="11.5703125" style="9" hidden="1" customWidth="1"/>
    <col min="7179" max="7181" width="12.7109375" style="9" customWidth="1"/>
    <col min="7182" max="7424" width="11.42578125" style="9"/>
    <col min="7425" max="7425" width="9.5703125" style="9" customWidth="1"/>
    <col min="7426" max="7426" width="50.7109375" style="9" customWidth="1"/>
    <col min="7427" max="7427" width="12.28515625" style="9" customWidth="1"/>
    <col min="7428" max="7428" width="8" style="9" customWidth="1"/>
    <col min="7429" max="7429" width="6.7109375" style="9" customWidth="1"/>
    <col min="7430" max="7431" width="12.7109375" style="9" customWidth="1"/>
    <col min="7432" max="7432" width="20.7109375" style="9" customWidth="1"/>
    <col min="7433" max="7433" width="12.7109375" style="9" customWidth="1"/>
    <col min="7434" max="7434" width="11.5703125" style="9" hidden="1" customWidth="1"/>
    <col min="7435" max="7437" width="12.7109375" style="9" customWidth="1"/>
    <col min="7438" max="7680" width="11.42578125" style="9"/>
    <col min="7681" max="7681" width="9.5703125" style="9" customWidth="1"/>
    <col min="7682" max="7682" width="50.7109375" style="9" customWidth="1"/>
    <col min="7683" max="7683" width="12.28515625" style="9" customWidth="1"/>
    <col min="7684" max="7684" width="8" style="9" customWidth="1"/>
    <col min="7685" max="7685" width="6.7109375" style="9" customWidth="1"/>
    <col min="7686" max="7687" width="12.7109375" style="9" customWidth="1"/>
    <col min="7688" max="7688" width="20.7109375" style="9" customWidth="1"/>
    <col min="7689" max="7689" width="12.7109375" style="9" customWidth="1"/>
    <col min="7690" max="7690" width="11.5703125" style="9" hidden="1" customWidth="1"/>
    <col min="7691" max="7693" width="12.7109375" style="9" customWidth="1"/>
    <col min="7694" max="7936" width="11.42578125" style="9"/>
    <col min="7937" max="7937" width="9.5703125" style="9" customWidth="1"/>
    <col min="7938" max="7938" width="50.7109375" style="9" customWidth="1"/>
    <col min="7939" max="7939" width="12.28515625" style="9" customWidth="1"/>
    <col min="7940" max="7940" width="8" style="9" customWidth="1"/>
    <col min="7941" max="7941" width="6.7109375" style="9" customWidth="1"/>
    <col min="7942" max="7943" width="12.7109375" style="9" customWidth="1"/>
    <col min="7944" max="7944" width="20.7109375" style="9" customWidth="1"/>
    <col min="7945" max="7945" width="12.7109375" style="9" customWidth="1"/>
    <col min="7946" max="7946" width="11.5703125" style="9" hidden="1" customWidth="1"/>
    <col min="7947" max="7949" width="12.7109375" style="9" customWidth="1"/>
    <col min="7950" max="8192" width="11.42578125" style="9"/>
    <col min="8193" max="8193" width="9.5703125" style="9" customWidth="1"/>
    <col min="8194" max="8194" width="50.7109375" style="9" customWidth="1"/>
    <col min="8195" max="8195" width="12.28515625" style="9" customWidth="1"/>
    <col min="8196" max="8196" width="8" style="9" customWidth="1"/>
    <col min="8197" max="8197" width="6.7109375" style="9" customWidth="1"/>
    <col min="8198" max="8199" width="12.7109375" style="9" customWidth="1"/>
    <col min="8200" max="8200" width="20.7109375" style="9" customWidth="1"/>
    <col min="8201" max="8201" width="12.7109375" style="9" customWidth="1"/>
    <col min="8202" max="8202" width="11.5703125" style="9" hidden="1" customWidth="1"/>
    <col min="8203" max="8205" width="12.7109375" style="9" customWidth="1"/>
    <col min="8206" max="8448" width="11.42578125" style="9"/>
    <col min="8449" max="8449" width="9.5703125" style="9" customWidth="1"/>
    <col min="8450" max="8450" width="50.7109375" style="9" customWidth="1"/>
    <col min="8451" max="8451" width="12.28515625" style="9" customWidth="1"/>
    <col min="8452" max="8452" width="8" style="9" customWidth="1"/>
    <col min="8453" max="8453" width="6.7109375" style="9" customWidth="1"/>
    <col min="8454" max="8455" width="12.7109375" style="9" customWidth="1"/>
    <col min="8456" max="8456" width="20.7109375" style="9" customWidth="1"/>
    <col min="8457" max="8457" width="12.7109375" style="9" customWidth="1"/>
    <col min="8458" max="8458" width="11.5703125" style="9" hidden="1" customWidth="1"/>
    <col min="8459" max="8461" width="12.7109375" style="9" customWidth="1"/>
    <col min="8462" max="8704" width="11.42578125" style="9"/>
    <col min="8705" max="8705" width="9.5703125" style="9" customWidth="1"/>
    <col min="8706" max="8706" width="50.7109375" style="9" customWidth="1"/>
    <col min="8707" max="8707" width="12.28515625" style="9" customWidth="1"/>
    <col min="8708" max="8708" width="8" style="9" customWidth="1"/>
    <col min="8709" max="8709" width="6.7109375" style="9" customWidth="1"/>
    <col min="8710" max="8711" width="12.7109375" style="9" customWidth="1"/>
    <col min="8712" max="8712" width="20.7109375" style="9" customWidth="1"/>
    <col min="8713" max="8713" width="12.7109375" style="9" customWidth="1"/>
    <col min="8714" max="8714" width="11.5703125" style="9" hidden="1" customWidth="1"/>
    <col min="8715" max="8717" width="12.7109375" style="9" customWidth="1"/>
    <col min="8718" max="8960" width="11.42578125" style="9"/>
    <col min="8961" max="8961" width="9.5703125" style="9" customWidth="1"/>
    <col min="8962" max="8962" width="50.7109375" style="9" customWidth="1"/>
    <col min="8963" max="8963" width="12.28515625" style="9" customWidth="1"/>
    <col min="8964" max="8964" width="8" style="9" customWidth="1"/>
    <col min="8965" max="8965" width="6.7109375" style="9" customWidth="1"/>
    <col min="8966" max="8967" width="12.7109375" style="9" customWidth="1"/>
    <col min="8968" max="8968" width="20.7109375" style="9" customWidth="1"/>
    <col min="8969" max="8969" width="12.7109375" style="9" customWidth="1"/>
    <col min="8970" max="8970" width="11.5703125" style="9" hidden="1" customWidth="1"/>
    <col min="8971" max="8973" width="12.7109375" style="9" customWidth="1"/>
    <col min="8974" max="9216" width="11.42578125" style="9"/>
    <col min="9217" max="9217" width="9.5703125" style="9" customWidth="1"/>
    <col min="9218" max="9218" width="50.7109375" style="9" customWidth="1"/>
    <col min="9219" max="9219" width="12.28515625" style="9" customWidth="1"/>
    <col min="9220" max="9220" width="8" style="9" customWidth="1"/>
    <col min="9221" max="9221" width="6.7109375" style="9" customWidth="1"/>
    <col min="9222" max="9223" width="12.7109375" style="9" customWidth="1"/>
    <col min="9224" max="9224" width="20.7109375" style="9" customWidth="1"/>
    <col min="9225" max="9225" width="12.7109375" style="9" customWidth="1"/>
    <col min="9226" max="9226" width="11.5703125" style="9" hidden="1" customWidth="1"/>
    <col min="9227" max="9229" width="12.7109375" style="9" customWidth="1"/>
    <col min="9230" max="9472" width="11.42578125" style="9"/>
    <col min="9473" max="9473" width="9.5703125" style="9" customWidth="1"/>
    <col min="9474" max="9474" width="50.7109375" style="9" customWidth="1"/>
    <col min="9475" max="9475" width="12.28515625" style="9" customWidth="1"/>
    <col min="9476" max="9476" width="8" style="9" customWidth="1"/>
    <col min="9477" max="9477" width="6.7109375" style="9" customWidth="1"/>
    <col min="9478" max="9479" width="12.7109375" style="9" customWidth="1"/>
    <col min="9480" max="9480" width="20.7109375" style="9" customWidth="1"/>
    <col min="9481" max="9481" width="12.7109375" style="9" customWidth="1"/>
    <col min="9482" max="9482" width="11.5703125" style="9" hidden="1" customWidth="1"/>
    <col min="9483" max="9485" width="12.7109375" style="9" customWidth="1"/>
    <col min="9486" max="9728" width="11.42578125" style="9"/>
    <col min="9729" max="9729" width="9.5703125" style="9" customWidth="1"/>
    <col min="9730" max="9730" width="50.7109375" style="9" customWidth="1"/>
    <col min="9731" max="9731" width="12.28515625" style="9" customWidth="1"/>
    <col min="9732" max="9732" width="8" style="9" customWidth="1"/>
    <col min="9733" max="9733" width="6.7109375" style="9" customWidth="1"/>
    <col min="9734" max="9735" width="12.7109375" style="9" customWidth="1"/>
    <col min="9736" max="9736" width="20.7109375" style="9" customWidth="1"/>
    <col min="9737" max="9737" width="12.7109375" style="9" customWidth="1"/>
    <col min="9738" max="9738" width="11.5703125" style="9" hidden="1" customWidth="1"/>
    <col min="9739" max="9741" width="12.7109375" style="9" customWidth="1"/>
    <col min="9742" max="9984" width="11.42578125" style="9"/>
    <col min="9985" max="9985" width="9.5703125" style="9" customWidth="1"/>
    <col min="9986" max="9986" width="50.7109375" style="9" customWidth="1"/>
    <col min="9987" max="9987" width="12.28515625" style="9" customWidth="1"/>
    <col min="9988" max="9988" width="8" style="9" customWidth="1"/>
    <col min="9989" max="9989" width="6.7109375" style="9" customWidth="1"/>
    <col min="9990" max="9991" width="12.7109375" style="9" customWidth="1"/>
    <col min="9992" max="9992" width="20.7109375" style="9" customWidth="1"/>
    <col min="9993" max="9993" width="12.7109375" style="9" customWidth="1"/>
    <col min="9994" max="9994" width="11.5703125" style="9" hidden="1" customWidth="1"/>
    <col min="9995" max="9997" width="12.7109375" style="9" customWidth="1"/>
    <col min="9998" max="10240" width="11.42578125" style="9"/>
    <col min="10241" max="10241" width="9.5703125" style="9" customWidth="1"/>
    <col min="10242" max="10242" width="50.7109375" style="9" customWidth="1"/>
    <col min="10243" max="10243" width="12.28515625" style="9" customWidth="1"/>
    <col min="10244" max="10244" width="8" style="9" customWidth="1"/>
    <col min="10245" max="10245" width="6.7109375" style="9" customWidth="1"/>
    <col min="10246" max="10247" width="12.7109375" style="9" customWidth="1"/>
    <col min="10248" max="10248" width="20.7109375" style="9" customWidth="1"/>
    <col min="10249" max="10249" width="12.7109375" style="9" customWidth="1"/>
    <col min="10250" max="10250" width="11.5703125" style="9" hidden="1" customWidth="1"/>
    <col min="10251" max="10253" width="12.7109375" style="9" customWidth="1"/>
    <col min="10254" max="10496" width="11.42578125" style="9"/>
    <col min="10497" max="10497" width="9.5703125" style="9" customWidth="1"/>
    <col min="10498" max="10498" width="50.7109375" style="9" customWidth="1"/>
    <col min="10499" max="10499" width="12.28515625" style="9" customWidth="1"/>
    <col min="10500" max="10500" width="8" style="9" customWidth="1"/>
    <col min="10501" max="10501" width="6.7109375" style="9" customWidth="1"/>
    <col min="10502" max="10503" width="12.7109375" style="9" customWidth="1"/>
    <col min="10504" max="10504" width="20.7109375" style="9" customWidth="1"/>
    <col min="10505" max="10505" width="12.7109375" style="9" customWidth="1"/>
    <col min="10506" max="10506" width="11.5703125" style="9" hidden="1" customWidth="1"/>
    <col min="10507" max="10509" width="12.7109375" style="9" customWidth="1"/>
    <col min="10510" max="10752" width="11.42578125" style="9"/>
    <col min="10753" max="10753" width="9.5703125" style="9" customWidth="1"/>
    <col min="10754" max="10754" width="50.7109375" style="9" customWidth="1"/>
    <col min="10755" max="10755" width="12.28515625" style="9" customWidth="1"/>
    <col min="10756" max="10756" width="8" style="9" customWidth="1"/>
    <col min="10757" max="10757" width="6.7109375" style="9" customWidth="1"/>
    <col min="10758" max="10759" width="12.7109375" style="9" customWidth="1"/>
    <col min="10760" max="10760" width="20.7109375" style="9" customWidth="1"/>
    <col min="10761" max="10761" width="12.7109375" style="9" customWidth="1"/>
    <col min="10762" max="10762" width="11.5703125" style="9" hidden="1" customWidth="1"/>
    <col min="10763" max="10765" width="12.7109375" style="9" customWidth="1"/>
    <col min="10766" max="11008" width="11.42578125" style="9"/>
    <col min="11009" max="11009" width="9.5703125" style="9" customWidth="1"/>
    <col min="11010" max="11010" width="50.7109375" style="9" customWidth="1"/>
    <col min="11011" max="11011" width="12.28515625" style="9" customWidth="1"/>
    <col min="11012" max="11012" width="8" style="9" customWidth="1"/>
    <col min="11013" max="11013" width="6.7109375" style="9" customWidth="1"/>
    <col min="11014" max="11015" width="12.7109375" style="9" customWidth="1"/>
    <col min="11016" max="11016" width="20.7109375" style="9" customWidth="1"/>
    <col min="11017" max="11017" width="12.7109375" style="9" customWidth="1"/>
    <col min="11018" max="11018" width="11.5703125" style="9" hidden="1" customWidth="1"/>
    <col min="11019" max="11021" width="12.7109375" style="9" customWidth="1"/>
    <col min="11022" max="11264" width="11.42578125" style="9"/>
    <col min="11265" max="11265" width="9.5703125" style="9" customWidth="1"/>
    <col min="11266" max="11266" width="50.7109375" style="9" customWidth="1"/>
    <col min="11267" max="11267" width="12.28515625" style="9" customWidth="1"/>
    <col min="11268" max="11268" width="8" style="9" customWidth="1"/>
    <col min="11269" max="11269" width="6.7109375" style="9" customWidth="1"/>
    <col min="11270" max="11271" width="12.7109375" style="9" customWidth="1"/>
    <col min="11272" max="11272" width="20.7109375" style="9" customWidth="1"/>
    <col min="11273" max="11273" width="12.7109375" style="9" customWidth="1"/>
    <col min="11274" max="11274" width="11.5703125" style="9" hidden="1" customWidth="1"/>
    <col min="11275" max="11277" width="12.7109375" style="9" customWidth="1"/>
    <col min="11278" max="11520" width="11.42578125" style="9"/>
    <col min="11521" max="11521" width="9.5703125" style="9" customWidth="1"/>
    <col min="11522" max="11522" width="50.7109375" style="9" customWidth="1"/>
    <col min="11523" max="11523" width="12.28515625" style="9" customWidth="1"/>
    <col min="11524" max="11524" width="8" style="9" customWidth="1"/>
    <col min="11525" max="11525" width="6.7109375" style="9" customWidth="1"/>
    <col min="11526" max="11527" width="12.7109375" style="9" customWidth="1"/>
    <col min="11528" max="11528" width="20.7109375" style="9" customWidth="1"/>
    <col min="11529" max="11529" width="12.7109375" style="9" customWidth="1"/>
    <col min="11530" max="11530" width="11.5703125" style="9" hidden="1" customWidth="1"/>
    <col min="11531" max="11533" width="12.7109375" style="9" customWidth="1"/>
    <col min="11534" max="11776" width="11.42578125" style="9"/>
    <col min="11777" max="11777" width="9.5703125" style="9" customWidth="1"/>
    <col min="11778" max="11778" width="50.7109375" style="9" customWidth="1"/>
    <col min="11779" max="11779" width="12.28515625" style="9" customWidth="1"/>
    <col min="11780" max="11780" width="8" style="9" customWidth="1"/>
    <col min="11781" max="11781" width="6.7109375" style="9" customWidth="1"/>
    <col min="11782" max="11783" width="12.7109375" style="9" customWidth="1"/>
    <col min="11784" max="11784" width="20.7109375" style="9" customWidth="1"/>
    <col min="11785" max="11785" width="12.7109375" style="9" customWidth="1"/>
    <col min="11786" max="11786" width="11.5703125" style="9" hidden="1" customWidth="1"/>
    <col min="11787" max="11789" width="12.7109375" style="9" customWidth="1"/>
    <col min="11790" max="12032" width="11.42578125" style="9"/>
    <col min="12033" max="12033" width="9.5703125" style="9" customWidth="1"/>
    <col min="12034" max="12034" width="50.7109375" style="9" customWidth="1"/>
    <col min="12035" max="12035" width="12.28515625" style="9" customWidth="1"/>
    <col min="12036" max="12036" width="8" style="9" customWidth="1"/>
    <col min="12037" max="12037" width="6.7109375" style="9" customWidth="1"/>
    <col min="12038" max="12039" width="12.7109375" style="9" customWidth="1"/>
    <col min="12040" max="12040" width="20.7109375" style="9" customWidth="1"/>
    <col min="12041" max="12041" width="12.7109375" style="9" customWidth="1"/>
    <col min="12042" max="12042" width="11.5703125" style="9" hidden="1" customWidth="1"/>
    <col min="12043" max="12045" width="12.7109375" style="9" customWidth="1"/>
    <col min="12046" max="12288" width="11.42578125" style="9"/>
    <col min="12289" max="12289" width="9.5703125" style="9" customWidth="1"/>
    <col min="12290" max="12290" width="50.7109375" style="9" customWidth="1"/>
    <col min="12291" max="12291" width="12.28515625" style="9" customWidth="1"/>
    <col min="12292" max="12292" width="8" style="9" customWidth="1"/>
    <col min="12293" max="12293" width="6.7109375" style="9" customWidth="1"/>
    <col min="12294" max="12295" width="12.7109375" style="9" customWidth="1"/>
    <col min="12296" max="12296" width="20.7109375" style="9" customWidth="1"/>
    <col min="12297" max="12297" width="12.7109375" style="9" customWidth="1"/>
    <col min="12298" max="12298" width="11.5703125" style="9" hidden="1" customWidth="1"/>
    <col min="12299" max="12301" width="12.7109375" style="9" customWidth="1"/>
    <col min="12302" max="12544" width="11.42578125" style="9"/>
    <col min="12545" max="12545" width="9.5703125" style="9" customWidth="1"/>
    <col min="12546" max="12546" width="50.7109375" style="9" customWidth="1"/>
    <col min="12547" max="12547" width="12.28515625" style="9" customWidth="1"/>
    <col min="12548" max="12548" width="8" style="9" customWidth="1"/>
    <col min="12549" max="12549" width="6.7109375" style="9" customWidth="1"/>
    <col min="12550" max="12551" width="12.7109375" style="9" customWidth="1"/>
    <col min="12552" max="12552" width="20.7109375" style="9" customWidth="1"/>
    <col min="12553" max="12553" width="12.7109375" style="9" customWidth="1"/>
    <col min="12554" max="12554" width="11.5703125" style="9" hidden="1" customWidth="1"/>
    <col min="12555" max="12557" width="12.7109375" style="9" customWidth="1"/>
    <col min="12558" max="12800" width="11.42578125" style="9"/>
    <col min="12801" max="12801" width="9.5703125" style="9" customWidth="1"/>
    <col min="12802" max="12802" width="50.7109375" style="9" customWidth="1"/>
    <col min="12803" max="12803" width="12.28515625" style="9" customWidth="1"/>
    <col min="12804" max="12804" width="8" style="9" customWidth="1"/>
    <col min="12805" max="12805" width="6.7109375" style="9" customWidth="1"/>
    <col min="12806" max="12807" width="12.7109375" style="9" customWidth="1"/>
    <col min="12808" max="12808" width="20.7109375" style="9" customWidth="1"/>
    <col min="12809" max="12809" width="12.7109375" style="9" customWidth="1"/>
    <col min="12810" max="12810" width="11.5703125" style="9" hidden="1" customWidth="1"/>
    <col min="12811" max="12813" width="12.7109375" style="9" customWidth="1"/>
    <col min="12814" max="13056" width="11.42578125" style="9"/>
    <col min="13057" max="13057" width="9.5703125" style="9" customWidth="1"/>
    <col min="13058" max="13058" width="50.7109375" style="9" customWidth="1"/>
    <col min="13059" max="13059" width="12.28515625" style="9" customWidth="1"/>
    <col min="13060" max="13060" width="8" style="9" customWidth="1"/>
    <col min="13061" max="13061" width="6.7109375" style="9" customWidth="1"/>
    <col min="13062" max="13063" width="12.7109375" style="9" customWidth="1"/>
    <col min="13064" max="13064" width="20.7109375" style="9" customWidth="1"/>
    <col min="13065" max="13065" width="12.7109375" style="9" customWidth="1"/>
    <col min="13066" max="13066" width="11.5703125" style="9" hidden="1" customWidth="1"/>
    <col min="13067" max="13069" width="12.7109375" style="9" customWidth="1"/>
    <col min="13070" max="13312" width="11.42578125" style="9"/>
    <col min="13313" max="13313" width="9.5703125" style="9" customWidth="1"/>
    <col min="13314" max="13314" width="50.7109375" style="9" customWidth="1"/>
    <col min="13315" max="13315" width="12.28515625" style="9" customWidth="1"/>
    <col min="13316" max="13316" width="8" style="9" customWidth="1"/>
    <col min="13317" max="13317" width="6.7109375" style="9" customWidth="1"/>
    <col min="13318" max="13319" width="12.7109375" style="9" customWidth="1"/>
    <col min="13320" max="13320" width="20.7109375" style="9" customWidth="1"/>
    <col min="13321" max="13321" width="12.7109375" style="9" customWidth="1"/>
    <col min="13322" max="13322" width="11.5703125" style="9" hidden="1" customWidth="1"/>
    <col min="13323" max="13325" width="12.7109375" style="9" customWidth="1"/>
    <col min="13326" max="13568" width="11.42578125" style="9"/>
    <col min="13569" max="13569" width="9.5703125" style="9" customWidth="1"/>
    <col min="13570" max="13570" width="50.7109375" style="9" customWidth="1"/>
    <col min="13571" max="13571" width="12.28515625" style="9" customWidth="1"/>
    <col min="13572" max="13572" width="8" style="9" customWidth="1"/>
    <col min="13573" max="13573" width="6.7109375" style="9" customWidth="1"/>
    <col min="13574" max="13575" width="12.7109375" style="9" customWidth="1"/>
    <col min="13576" max="13576" width="20.7109375" style="9" customWidth="1"/>
    <col min="13577" max="13577" width="12.7109375" style="9" customWidth="1"/>
    <col min="13578" max="13578" width="11.5703125" style="9" hidden="1" customWidth="1"/>
    <col min="13579" max="13581" width="12.7109375" style="9" customWidth="1"/>
    <col min="13582" max="13824" width="11.42578125" style="9"/>
    <col min="13825" max="13825" width="9.5703125" style="9" customWidth="1"/>
    <col min="13826" max="13826" width="50.7109375" style="9" customWidth="1"/>
    <col min="13827" max="13827" width="12.28515625" style="9" customWidth="1"/>
    <col min="13828" max="13828" width="8" style="9" customWidth="1"/>
    <col min="13829" max="13829" width="6.7109375" style="9" customWidth="1"/>
    <col min="13830" max="13831" width="12.7109375" style="9" customWidth="1"/>
    <col min="13832" max="13832" width="20.7109375" style="9" customWidth="1"/>
    <col min="13833" max="13833" width="12.7109375" style="9" customWidth="1"/>
    <col min="13834" max="13834" width="11.5703125" style="9" hidden="1" customWidth="1"/>
    <col min="13835" max="13837" width="12.7109375" style="9" customWidth="1"/>
    <col min="13838" max="14080" width="11.42578125" style="9"/>
    <col min="14081" max="14081" width="9.5703125" style="9" customWidth="1"/>
    <col min="14082" max="14082" width="50.7109375" style="9" customWidth="1"/>
    <col min="14083" max="14083" width="12.28515625" style="9" customWidth="1"/>
    <col min="14084" max="14084" width="8" style="9" customWidth="1"/>
    <col min="14085" max="14085" width="6.7109375" style="9" customWidth="1"/>
    <col min="14086" max="14087" width="12.7109375" style="9" customWidth="1"/>
    <col min="14088" max="14088" width="20.7109375" style="9" customWidth="1"/>
    <col min="14089" max="14089" width="12.7109375" style="9" customWidth="1"/>
    <col min="14090" max="14090" width="11.5703125" style="9" hidden="1" customWidth="1"/>
    <col min="14091" max="14093" width="12.7109375" style="9" customWidth="1"/>
    <col min="14094" max="14336" width="11.42578125" style="9"/>
    <col min="14337" max="14337" width="9.5703125" style="9" customWidth="1"/>
    <col min="14338" max="14338" width="50.7109375" style="9" customWidth="1"/>
    <col min="14339" max="14339" width="12.28515625" style="9" customWidth="1"/>
    <col min="14340" max="14340" width="8" style="9" customWidth="1"/>
    <col min="14341" max="14341" width="6.7109375" style="9" customWidth="1"/>
    <col min="14342" max="14343" width="12.7109375" style="9" customWidth="1"/>
    <col min="14344" max="14344" width="20.7109375" style="9" customWidth="1"/>
    <col min="14345" max="14345" width="12.7109375" style="9" customWidth="1"/>
    <col min="14346" max="14346" width="11.5703125" style="9" hidden="1" customWidth="1"/>
    <col min="14347" max="14349" width="12.7109375" style="9" customWidth="1"/>
    <col min="14350" max="14592" width="11.42578125" style="9"/>
    <col min="14593" max="14593" width="9.5703125" style="9" customWidth="1"/>
    <col min="14594" max="14594" width="50.7109375" style="9" customWidth="1"/>
    <col min="14595" max="14595" width="12.28515625" style="9" customWidth="1"/>
    <col min="14596" max="14596" width="8" style="9" customWidth="1"/>
    <col min="14597" max="14597" width="6.7109375" style="9" customWidth="1"/>
    <col min="14598" max="14599" width="12.7109375" style="9" customWidth="1"/>
    <col min="14600" max="14600" width="20.7109375" style="9" customWidth="1"/>
    <col min="14601" max="14601" width="12.7109375" style="9" customWidth="1"/>
    <col min="14602" max="14602" width="11.5703125" style="9" hidden="1" customWidth="1"/>
    <col min="14603" max="14605" width="12.7109375" style="9" customWidth="1"/>
    <col min="14606" max="14848" width="11.42578125" style="9"/>
    <col min="14849" max="14849" width="9.5703125" style="9" customWidth="1"/>
    <col min="14850" max="14850" width="50.7109375" style="9" customWidth="1"/>
    <col min="14851" max="14851" width="12.28515625" style="9" customWidth="1"/>
    <col min="14852" max="14852" width="8" style="9" customWidth="1"/>
    <col min="14853" max="14853" width="6.7109375" style="9" customWidth="1"/>
    <col min="14854" max="14855" width="12.7109375" style="9" customWidth="1"/>
    <col min="14856" max="14856" width="20.7109375" style="9" customWidth="1"/>
    <col min="14857" max="14857" width="12.7109375" style="9" customWidth="1"/>
    <col min="14858" max="14858" width="11.5703125" style="9" hidden="1" customWidth="1"/>
    <col min="14859" max="14861" width="12.7109375" style="9" customWidth="1"/>
    <col min="14862" max="15104" width="11.42578125" style="9"/>
    <col min="15105" max="15105" width="9.5703125" style="9" customWidth="1"/>
    <col min="15106" max="15106" width="50.7109375" style="9" customWidth="1"/>
    <col min="15107" max="15107" width="12.28515625" style="9" customWidth="1"/>
    <col min="15108" max="15108" width="8" style="9" customWidth="1"/>
    <col min="15109" max="15109" width="6.7109375" style="9" customWidth="1"/>
    <col min="15110" max="15111" width="12.7109375" style="9" customWidth="1"/>
    <col min="15112" max="15112" width="20.7109375" style="9" customWidth="1"/>
    <col min="15113" max="15113" width="12.7109375" style="9" customWidth="1"/>
    <col min="15114" max="15114" width="11.5703125" style="9" hidden="1" customWidth="1"/>
    <col min="15115" max="15117" width="12.7109375" style="9" customWidth="1"/>
    <col min="15118" max="15360" width="11.42578125" style="9"/>
    <col min="15361" max="15361" width="9.5703125" style="9" customWidth="1"/>
    <col min="15362" max="15362" width="50.7109375" style="9" customWidth="1"/>
    <col min="15363" max="15363" width="12.28515625" style="9" customWidth="1"/>
    <col min="15364" max="15364" width="8" style="9" customWidth="1"/>
    <col min="15365" max="15365" width="6.7109375" style="9" customWidth="1"/>
    <col min="15366" max="15367" width="12.7109375" style="9" customWidth="1"/>
    <col min="15368" max="15368" width="20.7109375" style="9" customWidth="1"/>
    <col min="15369" max="15369" width="12.7109375" style="9" customWidth="1"/>
    <col min="15370" max="15370" width="11.5703125" style="9" hidden="1" customWidth="1"/>
    <col min="15371" max="15373" width="12.7109375" style="9" customWidth="1"/>
    <col min="15374" max="15616" width="11.42578125" style="9"/>
    <col min="15617" max="15617" width="9.5703125" style="9" customWidth="1"/>
    <col min="15618" max="15618" width="50.7109375" style="9" customWidth="1"/>
    <col min="15619" max="15619" width="12.28515625" style="9" customWidth="1"/>
    <col min="15620" max="15620" width="8" style="9" customWidth="1"/>
    <col min="15621" max="15621" width="6.7109375" style="9" customWidth="1"/>
    <col min="15622" max="15623" width="12.7109375" style="9" customWidth="1"/>
    <col min="15624" max="15624" width="20.7109375" style="9" customWidth="1"/>
    <col min="15625" max="15625" width="12.7109375" style="9" customWidth="1"/>
    <col min="15626" max="15626" width="11.5703125" style="9" hidden="1" customWidth="1"/>
    <col min="15627" max="15629" width="12.7109375" style="9" customWidth="1"/>
    <col min="15630" max="15872" width="11.42578125" style="9"/>
    <col min="15873" max="15873" width="9.5703125" style="9" customWidth="1"/>
    <col min="15874" max="15874" width="50.7109375" style="9" customWidth="1"/>
    <col min="15875" max="15875" width="12.28515625" style="9" customWidth="1"/>
    <col min="15876" max="15876" width="8" style="9" customWidth="1"/>
    <col min="15877" max="15877" width="6.7109375" style="9" customWidth="1"/>
    <col min="15878" max="15879" width="12.7109375" style="9" customWidth="1"/>
    <col min="15880" max="15880" width="20.7109375" style="9" customWidth="1"/>
    <col min="15881" max="15881" width="12.7109375" style="9" customWidth="1"/>
    <col min="15882" max="15882" width="11.5703125" style="9" hidden="1" customWidth="1"/>
    <col min="15883" max="15885" width="12.7109375" style="9" customWidth="1"/>
    <col min="15886" max="16128" width="11.42578125" style="9"/>
    <col min="16129" max="16129" width="9.5703125" style="9" customWidth="1"/>
    <col min="16130" max="16130" width="50.7109375" style="9" customWidth="1"/>
    <col min="16131" max="16131" width="12.28515625" style="9" customWidth="1"/>
    <col min="16132" max="16132" width="8" style="9" customWidth="1"/>
    <col min="16133" max="16133" width="6.7109375" style="9" customWidth="1"/>
    <col min="16134" max="16135" width="12.7109375" style="9" customWidth="1"/>
    <col min="16136" max="16136" width="20.7109375" style="9" customWidth="1"/>
    <col min="16137" max="16137" width="12.7109375" style="9" customWidth="1"/>
    <col min="16138" max="16138" width="11.5703125" style="9" hidden="1" customWidth="1"/>
    <col min="16139" max="16141" width="12.7109375" style="9" customWidth="1"/>
    <col min="16142" max="16384" width="11.42578125" style="9"/>
  </cols>
  <sheetData>
    <row r="1" spans="1:19" ht="32.25" customHeight="1" x14ac:dyDescent="0.2">
      <c r="A1" s="73"/>
      <c r="B1" s="73"/>
      <c r="C1" s="74" t="s">
        <v>0</v>
      </c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9" s="10" customFormat="1" ht="32.25" customHeight="1" x14ac:dyDescent="0.2">
      <c r="A2" s="73"/>
      <c r="B2" s="73"/>
      <c r="C2" s="75" t="s">
        <v>679</v>
      </c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9" ht="32.25" customHeight="1" x14ac:dyDescent="0.2">
      <c r="A3" s="73"/>
      <c r="B3" s="73"/>
      <c r="C3" s="76" t="s">
        <v>680</v>
      </c>
      <c r="D3" s="76"/>
      <c r="E3" s="76"/>
      <c r="F3" s="76"/>
      <c r="G3" s="76"/>
      <c r="H3" s="76"/>
      <c r="I3" s="76"/>
      <c r="J3" s="11"/>
      <c r="K3" s="11" t="s">
        <v>67</v>
      </c>
      <c r="L3" s="11" t="s">
        <v>681</v>
      </c>
      <c r="M3" s="11" t="s">
        <v>5</v>
      </c>
      <c r="N3" s="12"/>
      <c r="O3" s="12"/>
      <c r="P3" s="12"/>
      <c r="Q3" s="12"/>
      <c r="R3" s="12"/>
      <c r="S3" s="12"/>
    </row>
    <row r="4" spans="1:19" ht="6.75" customHeight="1" x14ac:dyDescent="0.45">
      <c r="A4" s="13"/>
      <c r="B4" s="14"/>
      <c r="C4" s="15"/>
      <c r="D4" s="16"/>
      <c r="E4" s="17"/>
      <c r="F4" s="16"/>
      <c r="G4" s="18"/>
      <c r="H4" s="19"/>
      <c r="I4" s="20"/>
      <c r="J4" s="21"/>
      <c r="K4" s="22"/>
      <c r="L4" s="23"/>
      <c r="M4" s="24"/>
    </row>
    <row r="5" spans="1:19" s="33" customFormat="1" ht="24" customHeight="1" x14ac:dyDescent="0.2">
      <c r="A5" s="25"/>
      <c r="B5" s="26"/>
      <c r="C5" s="27"/>
      <c r="D5" s="28"/>
      <c r="E5" s="29"/>
      <c r="F5" s="28"/>
      <c r="G5" s="29"/>
      <c r="H5" s="30"/>
      <c r="I5" s="31"/>
      <c r="J5" s="29"/>
      <c r="K5" s="32"/>
      <c r="L5" s="77">
        <v>46146</v>
      </c>
      <c r="M5" s="77"/>
    </row>
    <row r="6" spans="1:19" s="33" customFormat="1" ht="18" customHeight="1" x14ac:dyDescent="0.2">
      <c r="A6" s="81" t="s">
        <v>6</v>
      </c>
      <c r="B6" s="82" t="s">
        <v>682</v>
      </c>
      <c r="C6" s="83" t="s">
        <v>631</v>
      </c>
      <c r="D6" s="34" t="s">
        <v>7</v>
      </c>
      <c r="E6" s="79" t="s">
        <v>8</v>
      </c>
      <c r="F6" s="84" t="s">
        <v>683</v>
      </c>
      <c r="G6" s="78" t="s">
        <v>684</v>
      </c>
      <c r="H6" s="35" t="s">
        <v>687</v>
      </c>
      <c r="I6" s="36" t="s">
        <v>686</v>
      </c>
      <c r="J6" s="37" t="s">
        <v>687</v>
      </c>
      <c r="K6" s="80" t="s">
        <v>688</v>
      </c>
      <c r="L6" s="80"/>
      <c r="M6" s="38" t="s">
        <v>688</v>
      </c>
    </row>
    <row r="7" spans="1:19" s="33" customFormat="1" ht="19.5" customHeight="1" x14ac:dyDescent="0.2">
      <c r="A7" s="81"/>
      <c r="B7" s="82"/>
      <c r="C7" s="82"/>
      <c r="D7" s="39" t="s">
        <v>689</v>
      </c>
      <c r="E7" s="79"/>
      <c r="F7" s="79"/>
      <c r="G7" s="79"/>
      <c r="H7" s="40" t="s">
        <v>695</v>
      </c>
      <c r="I7" s="41" t="s">
        <v>691</v>
      </c>
      <c r="J7" s="42" t="s">
        <v>692</v>
      </c>
      <c r="K7" s="43" t="s">
        <v>693</v>
      </c>
      <c r="L7" s="44" t="s">
        <v>694</v>
      </c>
      <c r="M7" s="45" t="s">
        <v>692</v>
      </c>
    </row>
    <row r="8" spans="1:19" s="55" customFormat="1" ht="6.75" customHeight="1" x14ac:dyDescent="0.2">
      <c r="A8" s="46"/>
      <c r="B8" s="47"/>
      <c r="C8" s="48"/>
      <c r="D8" s="49"/>
      <c r="E8" s="50"/>
      <c r="F8" s="49"/>
      <c r="G8" s="51"/>
      <c r="H8" s="52"/>
      <c r="I8" s="53"/>
      <c r="J8" s="50"/>
      <c r="K8" s="54"/>
      <c r="L8" s="54"/>
      <c r="M8" s="50"/>
      <c r="N8" s="33"/>
      <c r="O8" s="33"/>
    </row>
    <row r="9" spans="1:19" s="64" customFormat="1" ht="16.5" customHeight="1" x14ac:dyDescent="0.2">
      <c r="A9" s="65" t="s">
        <v>179</v>
      </c>
      <c r="B9" s="65" t="s">
        <v>180</v>
      </c>
      <c r="C9" s="66" t="s">
        <v>16</v>
      </c>
      <c r="D9" s="67">
        <v>101.35</v>
      </c>
      <c r="E9" s="67" t="s">
        <v>11</v>
      </c>
      <c r="F9" s="68" t="str">
        <f t="shared" ref="F9:F40" si="0">+$M$3</f>
        <v>0044</v>
      </c>
      <c r="G9" s="69"/>
      <c r="H9" s="70">
        <v>60</v>
      </c>
      <c r="I9" s="70">
        <v>0</v>
      </c>
      <c r="J9" s="62">
        <f t="shared" ref="J9:J40" si="1">D9*H9</f>
        <v>6081</v>
      </c>
      <c r="K9" s="62">
        <f t="shared" ref="K9:K40" si="2">H9-I9</f>
        <v>60</v>
      </c>
      <c r="L9" s="62">
        <f t="shared" ref="L9:L40" si="3">H9-I9</f>
        <v>60</v>
      </c>
      <c r="M9" s="63">
        <f t="shared" ref="M9:M40" si="4">L9*D9</f>
        <v>6081</v>
      </c>
    </row>
    <row r="10" spans="1:19" s="64" customFormat="1" ht="16.5" customHeight="1" x14ac:dyDescent="0.2">
      <c r="A10" s="65" t="s">
        <v>175</v>
      </c>
      <c r="B10" s="65" t="s">
        <v>176</v>
      </c>
      <c r="C10" s="66" t="s">
        <v>16</v>
      </c>
      <c r="D10" s="67">
        <v>163.54</v>
      </c>
      <c r="E10" s="67" t="s">
        <v>11</v>
      </c>
      <c r="F10" s="68" t="str">
        <f t="shared" si="0"/>
        <v>0044</v>
      </c>
      <c r="G10" s="69"/>
      <c r="H10" s="70">
        <v>29</v>
      </c>
      <c r="I10" s="70">
        <v>0</v>
      </c>
      <c r="J10" s="62">
        <f t="shared" si="1"/>
        <v>4742.66</v>
      </c>
      <c r="K10" s="62">
        <f t="shared" si="2"/>
        <v>29</v>
      </c>
      <c r="L10" s="62">
        <f t="shared" si="3"/>
        <v>29</v>
      </c>
      <c r="M10" s="63">
        <f t="shared" si="4"/>
        <v>4742.66</v>
      </c>
    </row>
    <row r="11" spans="1:19" s="64" customFormat="1" ht="16.5" customHeight="1" x14ac:dyDescent="0.2">
      <c r="A11" s="65" t="s">
        <v>353</v>
      </c>
      <c r="B11" s="65" t="s">
        <v>354</v>
      </c>
      <c r="C11" s="66"/>
      <c r="D11" s="67">
        <v>543.21</v>
      </c>
      <c r="E11" s="67" t="s">
        <v>11</v>
      </c>
      <c r="F11" s="68" t="str">
        <f t="shared" si="0"/>
        <v>0044</v>
      </c>
      <c r="G11" s="69"/>
      <c r="H11" s="70">
        <v>8</v>
      </c>
      <c r="I11" s="70">
        <v>0</v>
      </c>
      <c r="J11" s="62">
        <f t="shared" si="1"/>
        <v>4345.68</v>
      </c>
      <c r="K11" s="62">
        <f t="shared" si="2"/>
        <v>8</v>
      </c>
      <c r="L11" s="62">
        <f t="shared" si="3"/>
        <v>8</v>
      </c>
      <c r="M11" s="63">
        <f t="shared" si="4"/>
        <v>4345.68</v>
      </c>
    </row>
    <row r="12" spans="1:19" s="64" customFormat="1" ht="16.5" customHeight="1" x14ac:dyDescent="0.2">
      <c r="A12" s="65" t="s">
        <v>119</v>
      </c>
      <c r="B12" s="65" t="s">
        <v>120</v>
      </c>
      <c r="C12" s="66" t="s">
        <v>121</v>
      </c>
      <c r="D12" s="67">
        <v>3.07</v>
      </c>
      <c r="E12" s="67" t="s">
        <v>11</v>
      </c>
      <c r="F12" s="68" t="str">
        <f t="shared" si="0"/>
        <v>0044</v>
      </c>
      <c r="G12" s="69"/>
      <c r="H12" s="70">
        <v>1359</v>
      </c>
      <c r="I12" s="70">
        <v>0</v>
      </c>
      <c r="J12" s="62">
        <f t="shared" si="1"/>
        <v>4172.13</v>
      </c>
      <c r="K12" s="62">
        <f t="shared" si="2"/>
        <v>1359</v>
      </c>
      <c r="L12" s="62">
        <f t="shared" si="3"/>
        <v>1359</v>
      </c>
      <c r="M12" s="63">
        <f t="shared" si="4"/>
        <v>4172.13</v>
      </c>
    </row>
    <row r="13" spans="1:19" s="64" customFormat="1" ht="16.5" customHeight="1" x14ac:dyDescent="0.2">
      <c r="A13" s="65" t="s">
        <v>167</v>
      </c>
      <c r="B13" s="65" t="s">
        <v>168</v>
      </c>
      <c r="C13" s="66"/>
      <c r="D13" s="67">
        <v>115.83</v>
      </c>
      <c r="E13" s="67" t="s">
        <v>11</v>
      </c>
      <c r="F13" s="68" t="str">
        <f t="shared" si="0"/>
        <v>0044</v>
      </c>
      <c r="G13" s="69"/>
      <c r="H13" s="70">
        <v>30</v>
      </c>
      <c r="I13" s="70">
        <v>0</v>
      </c>
      <c r="J13" s="62">
        <f t="shared" si="1"/>
        <v>3474.9</v>
      </c>
      <c r="K13" s="62">
        <f t="shared" si="2"/>
        <v>30</v>
      </c>
      <c r="L13" s="62">
        <f t="shared" si="3"/>
        <v>30</v>
      </c>
      <c r="M13" s="63">
        <f t="shared" si="4"/>
        <v>3474.9</v>
      </c>
    </row>
    <row r="14" spans="1:19" s="64" customFormat="1" ht="16.5" customHeight="1" x14ac:dyDescent="0.2">
      <c r="A14" s="65" t="s">
        <v>270</v>
      </c>
      <c r="B14" s="65" t="s">
        <v>271</v>
      </c>
      <c r="C14" s="66" t="s">
        <v>568</v>
      </c>
      <c r="D14" s="67">
        <v>12.34</v>
      </c>
      <c r="E14" s="67" t="s">
        <v>11</v>
      </c>
      <c r="F14" s="68" t="str">
        <f t="shared" si="0"/>
        <v>0044</v>
      </c>
      <c r="G14" s="69"/>
      <c r="H14" s="70">
        <v>130</v>
      </c>
      <c r="I14" s="70">
        <v>0</v>
      </c>
      <c r="J14" s="62">
        <f t="shared" si="1"/>
        <v>1604.2</v>
      </c>
      <c r="K14" s="62">
        <f t="shared" si="2"/>
        <v>130</v>
      </c>
      <c r="L14" s="62">
        <f t="shared" si="3"/>
        <v>130</v>
      </c>
      <c r="M14" s="63">
        <f t="shared" si="4"/>
        <v>1604.2</v>
      </c>
    </row>
    <row r="15" spans="1:19" s="64" customFormat="1" ht="16.5" customHeight="1" x14ac:dyDescent="0.2">
      <c r="A15" s="65" t="s">
        <v>387</v>
      </c>
      <c r="B15" s="65" t="s">
        <v>388</v>
      </c>
      <c r="C15" s="66"/>
      <c r="D15" s="67">
        <v>261.12</v>
      </c>
      <c r="E15" s="67" t="s">
        <v>11</v>
      </c>
      <c r="F15" s="68" t="str">
        <f t="shared" si="0"/>
        <v>0044</v>
      </c>
      <c r="G15" s="69"/>
      <c r="H15" s="70">
        <v>5</v>
      </c>
      <c r="I15" s="70">
        <v>0</v>
      </c>
      <c r="J15" s="62">
        <f t="shared" si="1"/>
        <v>1305.5999999999999</v>
      </c>
      <c r="K15" s="62">
        <f t="shared" si="2"/>
        <v>5</v>
      </c>
      <c r="L15" s="62">
        <f t="shared" si="3"/>
        <v>5</v>
      </c>
      <c r="M15" s="63">
        <f t="shared" si="4"/>
        <v>1305.5999999999999</v>
      </c>
    </row>
    <row r="16" spans="1:19" s="64" customFormat="1" ht="16.5" customHeight="1" x14ac:dyDescent="0.2">
      <c r="A16" s="65" t="s">
        <v>393</v>
      </c>
      <c r="B16" s="65" t="s">
        <v>394</v>
      </c>
      <c r="C16" s="66"/>
      <c r="D16" s="67">
        <v>147.15</v>
      </c>
      <c r="E16" s="67" t="s">
        <v>11</v>
      </c>
      <c r="F16" s="68" t="str">
        <f t="shared" si="0"/>
        <v>0044</v>
      </c>
      <c r="G16" s="69"/>
      <c r="H16" s="70">
        <v>8</v>
      </c>
      <c r="I16" s="70">
        <v>0</v>
      </c>
      <c r="J16" s="62">
        <f t="shared" si="1"/>
        <v>1177.2</v>
      </c>
      <c r="K16" s="62">
        <f t="shared" si="2"/>
        <v>8</v>
      </c>
      <c r="L16" s="62">
        <f t="shared" si="3"/>
        <v>8</v>
      </c>
      <c r="M16" s="63">
        <f t="shared" si="4"/>
        <v>1177.2</v>
      </c>
    </row>
    <row r="17" spans="1:13" s="64" customFormat="1" ht="16.5" customHeight="1" x14ac:dyDescent="0.2">
      <c r="A17" s="65" t="s">
        <v>284</v>
      </c>
      <c r="B17" s="65" t="s">
        <v>285</v>
      </c>
      <c r="C17" s="66" t="s">
        <v>589</v>
      </c>
      <c r="D17" s="67">
        <v>19.5</v>
      </c>
      <c r="E17" s="67" t="s">
        <v>11</v>
      </c>
      <c r="F17" s="68" t="str">
        <f t="shared" si="0"/>
        <v>0044</v>
      </c>
      <c r="G17" s="69"/>
      <c r="H17" s="70">
        <v>60</v>
      </c>
      <c r="I17" s="70">
        <v>0</v>
      </c>
      <c r="J17" s="62">
        <f t="shared" si="1"/>
        <v>1170</v>
      </c>
      <c r="K17" s="62">
        <f t="shared" si="2"/>
        <v>60</v>
      </c>
      <c r="L17" s="62">
        <f t="shared" si="3"/>
        <v>60</v>
      </c>
      <c r="M17" s="63">
        <f t="shared" si="4"/>
        <v>1170</v>
      </c>
    </row>
    <row r="18" spans="1:13" s="64" customFormat="1" ht="16.5" customHeight="1" x14ac:dyDescent="0.2">
      <c r="A18" s="65" t="s">
        <v>133</v>
      </c>
      <c r="B18" s="65" t="s">
        <v>129</v>
      </c>
      <c r="C18" s="66" t="s">
        <v>282</v>
      </c>
      <c r="D18" s="67">
        <v>10.199999999999999</v>
      </c>
      <c r="E18" s="67" t="s">
        <v>11</v>
      </c>
      <c r="F18" s="68" t="str">
        <f t="shared" si="0"/>
        <v>0044</v>
      </c>
      <c r="G18" s="69"/>
      <c r="H18" s="70">
        <v>101</v>
      </c>
      <c r="I18" s="70">
        <v>0</v>
      </c>
      <c r="J18" s="62">
        <f t="shared" si="1"/>
        <v>1030.1999999999998</v>
      </c>
      <c r="K18" s="62">
        <f t="shared" si="2"/>
        <v>101</v>
      </c>
      <c r="L18" s="62">
        <f t="shared" si="3"/>
        <v>101</v>
      </c>
      <c r="M18" s="63">
        <f t="shared" si="4"/>
        <v>1030.1999999999998</v>
      </c>
    </row>
    <row r="19" spans="1:13" s="64" customFormat="1" ht="16.5" customHeight="1" x14ac:dyDescent="0.2">
      <c r="A19" s="65" t="s">
        <v>349</v>
      </c>
      <c r="B19" s="65" t="s">
        <v>350</v>
      </c>
      <c r="C19" s="66"/>
      <c r="D19" s="67">
        <v>64.34</v>
      </c>
      <c r="E19" s="67" t="s">
        <v>11</v>
      </c>
      <c r="F19" s="68" t="str">
        <f t="shared" si="0"/>
        <v>0044</v>
      </c>
      <c r="G19" s="69"/>
      <c r="H19" s="70">
        <v>13</v>
      </c>
      <c r="I19" s="70">
        <v>0</v>
      </c>
      <c r="J19" s="62">
        <f t="shared" si="1"/>
        <v>836.42000000000007</v>
      </c>
      <c r="K19" s="62">
        <f t="shared" si="2"/>
        <v>13</v>
      </c>
      <c r="L19" s="62">
        <f t="shared" si="3"/>
        <v>13</v>
      </c>
      <c r="M19" s="63">
        <f t="shared" si="4"/>
        <v>836.42000000000007</v>
      </c>
    </row>
    <row r="20" spans="1:13" s="64" customFormat="1" ht="16.5" customHeight="1" x14ac:dyDescent="0.2">
      <c r="A20" s="65" t="s">
        <v>173</v>
      </c>
      <c r="B20" s="65" t="s">
        <v>174</v>
      </c>
      <c r="C20" s="66" t="s">
        <v>16</v>
      </c>
      <c r="D20" s="67">
        <v>167.25</v>
      </c>
      <c r="E20" s="67" t="s">
        <v>11</v>
      </c>
      <c r="F20" s="68" t="str">
        <f t="shared" si="0"/>
        <v>0044</v>
      </c>
      <c r="G20" s="69"/>
      <c r="H20" s="70">
        <v>5</v>
      </c>
      <c r="I20" s="70">
        <v>0</v>
      </c>
      <c r="J20" s="62">
        <f t="shared" si="1"/>
        <v>836.25</v>
      </c>
      <c r="K20" s="62">
        <f t="shared" si="2"/>
        <v>5</v>
      </c>
      <c r="L20" s="62">
        <f t="shared" si="3"/>
        <v>5</v>
      </c>
      <c r="M20" s="63">
        <f t="shared" si="4"/>
        <v>836.25</v>
      </c>
    </row>
    <row r="21" spans="1:13" s="64" customFormat="1" ht="16.5" customHeight="1" x14ac:dyDescent="0.2">
      <c r="A21" s="65" t="s">
        <v>239</v>
      </c>
      <c r="B21" s="65" t="s">
        <v>240</v>
      </c>
      <c r="C21" s="66" t="s">
        <v>499</v>
      </c>
      <c r="D21" s="67">
        <v>26.36</v>
      </c>
      <c r="E21" s="67" t="s">
        <v>11</v>
      </c>
      <c r="F21" s="68" t="str">
        <f t="shared" si="0"/>
        <v>0044</v>
      </c>
      <c r="G21" s="69"/>
      <c r="H21" s="70">
        <v>30</v>
      </c>
      <c r="I21" s="70">
        <v>0</v>
      </c>
      <c r="J21" s="62">
        <f t="shared" si="1"/>
        <v>790.8</v>
      </c>
      <c r="K21" s="62">
        <f t="shared" si="2"/>
        <v>30</v>
      </c>
      <c r="L21" s="62">
        <f t="shared" si="3"/>
        <v>30</v>
      </c>
      <c r="M21" s="63">
        <f t="shared" si="4"/>
        <v>790.8</v>
      </c>
    </row>
    <row r="22" spans="1:13" s="64" customFormat="1" ht="16.5" customHeight="1" x14ac:dyDescent="0.2">
      <c r="A22" s="65" t="s">
        <v>25</v>
      </c>
      <c r="B22" s="65" t="s">
        <v>26</v>
      </c>
      <c r="C22" s="66" t="s">
        <v>507</v>
      </c>
      <c r="D22" s="67">
        <v>6.78</v>
      </c>
      <c r="E22" s="67" t="s">
        <v>11</v>
      </c>
      <c r="F22" s="68" t="str">
        <f t="shared" si="0"/>
        <v>0044</v>
      </c>
      <c r="G22" s="69"/>
      <c r="H22" s="70">
        <v>112</v>
      </c>
      <c r="I22" s="70">
        <v>0</v>
      </c>
      <c r="J22" s="62">
        <f t="shared" si="1"/>
        <v>759.36</v>
      </c>
      <c r="K22" s="62">
        <f t="shared" si="2"/>
        <v>112</v>
      </c>
      <c r="L22" s="62">
        <f t="shared" si="3"/>
        <v>112</v>
      </c>
      <c r="M22" s="63">
        <f t="shared" si="4"/>
        <v>759.36</v>
      </c>
    </row>
    <row r="23" spans="1:13" s="64" customFormat="1" ht="16.5" customHeight="1" x14ac:dyDescent="0.2">
      <c r="A23" s="65" t="s">
        <v>58</v>
      </c>
      <c r="B23" s="65" t="s">
        <v>59</v>
      </c>
      <c r="C23" s="66" t="s">
        <v>659</v>
      </c>
      <c r="D23" s="67">
        <v>10.46</v>
      </c>
      <c r="E23" s="67" t="s">
        <v>11</v>
      </c>
      <c r="F23" s="68" t="str">
        <f t="shared" si="0"/>
        <v>0044</v>
      </c>
      <c r="G23" s="69"/>
      <c r="H23" s="70">
        <v>68</v>
      </c>
      <c r="I23" s="70">
        <v>0</v>
      </c>
      <c r="J23" s="62">
        <f t="shared" si="1"/>
        <v>711.28000000000009</v>
      </c>
      <c r="K23" s="62">
        <f t="shared" si="2"/>
        <v>68</v>
      </c>
      <c r="L23" s="62">
        <f t="shared" si="3"/>
        <v>68</v>
      </c>
      <c r="M23" s="63">
        <f t="shared" si="4"/>
        <v>711.28000000000009</v>
      </c>
    </row>
    <row r="24" spans="1:13" s="64" customFormat="1" ht="16.5" customHeight="1" x14ac:dyDescent="0.2">
      <c r="A24" s="65" t="s">
        <v>74</v>
      </c>
      <c r="B24" s="65" t="s">
        <v>75</v>
      </c>
      <c r="C24" s="66"/>
      <c r="D24" s="67">
        <v>7.85</v>
      </c>
      <c r="E24" s="67" t="s">
        <v>11</v>
      </c>
      <c r="F24" s="68" t="str">
        <f t="shared" si="0"/>
        <v>0044</v>
      </c>
      <c r="G24" s="69"/>
      <c r="H24" s="70">
        <v>89</v>
      </c>
      <c r="I24" s="70">
        <v>0</v>
      </c>
      <c r="J24" s="62">
        <f t="shared" si="1"/>
        <v>698.65</v>
      </c>
      <c r="K24" s="62">
        <f t="shared" si="2"/>
        <v>89</v>
      </c>
      <c r="L24" s="62">
        <f t="shared" si="3"/>
        <v>89</v>
      </c>
      <c r="M24" s="63">
        <f t="shared" si="4"/>
        <v>698.65</v>
      </c>
    </row>
    <row r="25" spans="1:13" s="64" customFormat="1" ht="16.5" customHeight="1" x14ac:dyDescent="0.2">
      <c r="A25" s="65" t="s">
        <v>38</v>
      </c>
      <c r="B25" s="65" t="s">
        <v>39</v>
      </c>
      <c r="C25" s="66" t="s">
        <v>531</v>
      </c>
      <c r="D25" s="67">
        <v>2.95</v>
      </c>
      <c r="E25" s="67" t="s">
        <v>11</v>
      </c>
      <c r="F25" s="68" t="str">
        <f t="shared" si="0"/>
        <v>0044</v>
      </c>
      <c r="G25" s="69"/>
      <c r="H25" s="70">
        <v>225</v>
      </c>
      <c r="I25" s="70">
        <v>0</v>
      </c>
      <c r="J25" s="62">
        <f t="shared" si="1"/>
        <v>663.75</v>
      </c>
      <c r="K25" s="62">
        <f t="shared" si="2"/>
        <v>225</v>
      </c>
      <c r="L25" s="62">
        <f t="shared" si="3"/>
        <v>225</v>
      </c>
      <c r="M25" s="63">
        <f t="shared" si="4"/>
        <v>663.75</v>
      </c>
    </row>
    <row r="26" spans="1:13" s="64" customFormat="1" ht="16.5" customHeight="1" x14ac:dyDescent="0.2">
      <c r="A26" s="65" t="s">
        <v>23</v>
      </c>
      <c r="B26" s="65" t="s">
        <v>24</v>
      </c>
      <c r="C26" s="66" t="s">
        <v>249</v>
      </c>
      <c r="D26" s="67">
        <v>7.97</v>
      </c>
      <c r="E26" s="67" t="s">
        <v>11</v>
      </c>
      <c r="F26" s="68" t="str">
        <f t="shared" si="0"/>
        <v>0044</v>
      </c>
      <c r="G26" s="69"/>
      <c r="H26" s="70">
        <v>80</v>
      </c>
      <c r="I26" s="70">
        <v>0</v>
      </c>
      <c r="J26" s="62">
        <f t="shared" si="1"/>
        <v>637.6</v>
      </c>
      <c r="K26" s="62">
        <f t="shared" si="2"/>
        <v>80</v>
      </c>
      <c r="L26" s="62">
        <f t="shared" si="3"/>
        <v>80</v>
      </c>
      <c r="M26" s="63">
        <f t="shared" si="4"/>
        <v>637.6</v>
      </c>
    </row>
    <row r="27" spans="1:13" s="64" customFormat="1" ht="16.5" customHeight="1" x14ac:dyDescent="0.2">
      <c r="A27" s="65" t="s">
        <v>229</v>
      </c>
      <c r="B27" s="65" t="s">
        <v>230</v>
      </c>
      <c r="C27" s="66" t="s">
        <v>231</v>
      </c>
      <c r="D27" s="67">
        <v>9.83</v>
      </c>
      <c r="E27" s="67" t="s">
        <v>11</v>
      </c>
      <c r="F27" s="68" t="str">
        <f t="shared" si="0"/>
        <v>0044</v>
      </c>
      <c r="G27" s="69"/>
      <c r="H27" s="70">
        <v>62</v>
      </c>
      <c r="I27" s="70">
        <v>0</v>
      </c>
      <c r="J27" s="62">
        <f t="shared" si="1"/>
        <v>609.46</v>
      </c>
      <c r="K27" s="62">
        <f t="shared" si="2"/>
        <v>62</v>
      </c>
      <c r="L27" s="62">
        <f t="shared" si="3"/>
        <v>62</v>
      </c>
      <c r="M27" s="63">
        <f t="shared" si="4"/>
        <v>609.46</v>
      </c>
    </row>
    <row r="28" spans="1:13" s="64" customFormat="1" ht="16.5" customHeight="1" x14ac:dyDescent="0.2">
      <c r="A28" s="65" t="s">
        <v>55</v>
      </c>
      <c r="B28" s="65" t="s">
        <v>56</v>
      </c>
      <c r="C28" s="66" t="s">
        <v>626</v>
      </c>
      <c r="D28" s="67">
        <v>3.32</v>
      </c>
      <c r="E28" s="67" t="s">
        <v>11</v>
      </c>
      <c r="F28" s="68" t="str">
        <f t="shared" si="0"/>
        <v>0044</v>
      </c>
      <c r="G28" s="69"/>
      <c r="H28" s="70">
        <v>144</v>
      </c>
      <c r="I28" s="70">
        <v>0</v>
      </c>
      <c r="J28" s="62">
        <f t="shared" si="1"/>
        <v>478.08</v>
      </c>
      <c r="K28" s="62">
        <f t="shared" si="2"/>
        <v>144</v>
      </c>
      <c r="L28" s="62">
        <f t="shared" si="3"/>
        <v>144</v>
      </c>
      <c r="M28" s="63">
        <f t="shared" si="4"/>
        <v>478.08</v>
      </c>
    </row>
    <row r="29" spans="1:13" s="64" customFormat="1" ht="16.5" customHeight="1" x14ac:dyDescent="0.2">
      <c r="A29" s="65" t="s">
        <v>411</v>
      </c>
      <c r="B29" s="65" t="s">
        <v>412</v>
      </c>
      <c r="C29" s="66"/>
      <c r="D29" s="67">
        <v>15.52</v>
      </c>
      <c r="E29" s="67" t="s">
        <v>11</v>
      </c>
      <c r="F29" s="68" t="str">
        <f t="shared" si="0"/>
        <v>0044</v>
      </c>
      <c r="G29" s="69"/>
      <c r="H29" s="70">
        <v>24</v>
      </c>
      <c r="I29" s="70">
        <v>0</v>
      </c>
      <c r="J29" s="62">
        <f t="shared" si="1"/>
        <v>372.48</v>
      </c>
      <c r="K29" s="62">
        <f t="shared" si="2"/>
        <v>24</v>
      </c>
      <c r="L29" s="62">
        <f t="shared" si="3"/>
        <v>24</v>
      </c>
      <c r="M29" s="63">
        <f t="shared" si="4"/>
        <v>372.48</v>
      </c>
    </row>
    <row r="30" spans="1:13" s="64" customFormat="1" ht="16.5" customHeight="1" x14ac:dyDescent="0.2">
      <c r="A30" s="65" t="s">
        <v>454</v>
      </c>
      <c r="B30" s="65" t="s">
        <v>455</v>
      </c>
      <c r="C30" s="66"/>
      <c r="D30" s="67">
        <v>35.21</v>
      </c>
      <c r="E30" s="67" t="s">
        <v>11</v>
      </c>
      <c r="F30" s="68" t="str">
        <f t="shared" si="0"/>
        <v>0044</v>
      </c>
      <c r="G30" s="69"/>
      <c r="H30" s="70">
        <v>10</v>
      </c>
      <c r="I30" s="70">
        <v>0</v>
      </c>
      <c r="J30" s="62">
        <f t="shared" si="1"/>
        <v>352.1</v>
      </c>
      <c r="K30" s="62">
        <f t="shared" si="2"/>
        <v>10</v>
      </c>
      <c r="L30" s="62">
        <f t="shared" si="3"/>
        <v>10</v>
      </c>
      <c r="M30" s="63">
        <f t="shared" si="4"/>
        <v>352.1</v>
      </c>
    </row>
    <row r="31" spans="1:13" s="64" customFormat="1" ht="16.5" customHeight="1" x14ac:dyDescent="0.2">
      <c r="A31" s="65" t="s">
        <v>97</v>
      </c>
      <c r="B31" s="65" t="s">
        <v>98</v>
      </c>
      <c r="C31" s="66" t="s">
        <v>660</v>
      </c>
      <c r="D31" s="67">
        <v>18.18</v>
      </c>
      <c r="E31" s="67" t="s">
        <v>11</v>
      </c>
      <c r="F31" s="68" t="str">
        <f t="shared" si="0"/>
        <v>0044</v>
      </c>
      <c r="G31" s="69"/>
      <c r="H31" s="70">
        <v>18</v>
      </c>
      <c r="I31" s="70">
        <v>0</v>
      </c>
      <c r="J31" s="62">
        <f t="shared" si="1"/>
        <v>327.24</v>
      </c>
      <c r="K31" s="62">
        <f t="shared" si="2"/>
        <v>18</v>
      </c>
      <c r="L31" s="62">
        <f t="shared" si="3"/>
        <v>18</v>
      </c>
      <c r="M31" s="63">
        <f t="shared" si="4"/>
        <v>327.24</v>
      </c>
    </row>
    <row r="32" spans="1:13" s="64" customFormat="1" ht="16.5" customHeight="1" x14ac:dyDescent="0.2">
      <c r="A32" s="65" t="s">
        <v>207</v>
      </c>
      <c r="B32" s="65" t="s">
        <v>208</v>
      </c>
      <c r="C32" s="66" t="s">
        <v>209</v>
      </c>
      <c r="D32" s="67">
        <v>29.67</v>
      </c>
      <c r="E32" s="67" t="s">
        <v>11</v>
      </c>
      <c r="F32" s="68" t="str">
        <f t="shared" si="0"/>
        <v>0044</v>
      </c>
      <c r="G32" s="69"/>
      <c r="H32" s="70">
        <v>10</v>
      </c>
      <c r="I32" s="70">
        <v>0</v>
      </c>
      <c r="J32" s="62">
        <f t="shared" si="1"/>
        <v>296.70000000000005</v>
      </c>
      <c r="K32" s="62">
        <f t="shared" si="2"/>
        <v>10</v>
      </c>
      <c r="L32" s="62">
        <f t="shared" si="3"/>
        <v>10</v>
      </c>
      <c r="M32" s="63">
        <f t="shared" si="4"/>
        <v>296.70000000000005</v>
      </c>
    </row>
    <row r="33" spans="1:13" s="64" customFormat="1" ht="16.5" customHeight="1" x14ac:dyDescent="0.2">
      <c r="A33" s="65" t="s">
        <v>232</v>
      </c>
      <c r="B33" s="65" t="s">
        <v>233</v>
      </c>
      <c r="C33" s="66" t="s">
        <v>489</v>
      </c>
      <c r="D33" s="67">
        <v>27.68</v>
      </c>
      <c r="E33" s="67" t="s">
        <v>11</v>
      </c>
      <c r="F33" s="68" t="str">
        <f t="shared" si="0"/>
        <v>0044</v>
      </c>
      <c r="G33" s="69"/>
      <c r="H33" s="70">
        <v>10</v>
      </c>
      <c r="I33" s="70">
        <v>0</v>
      </c>
      <c r="J33" s="62">
        <f t="shared" si="1"/>
        <v>276.8</v>
      </c>
      <c r="K33" s="62">
        <f t="shared" si="2"/>
        <v>10</v>
      </c>
      <c r="L33" s="62">
        <f t="shared" si="3"/>
        <v>10</v>
      </c>
      <c r="M33" s="63">
        <f t="shared" si="4"/>
        <v>276.8</v>
      </c>
    </row>
    <row r="34" spans="1:13" s="64" customFormat="1" ht="16.5" customHeight="1" x14ac:dyDescent="0.2">
      <c r="A34" s="65" t="s">
        <v>298</v>
      </c>
      <c r="B34" s="65" t="s">
        <v>299</v>
      </c>
      <c r="C34" s="66"/>
      <c r="D34" s="67">
        <v>54.53</v>
      </c>
      <c r="E34" s="67" t="s">
        <v>11</v>
      </c>
      <c r="F34" s="68" t="str">
        <f t="shared" si="0"/>
        <v>0044</v>
      </c>
      <c r="G34" s="69"/>
      <c r="H34" s="70">
        <v>5</v>
      </c>
      <c r="I34" s="70">
        <v>0</v>
      </c>
      <c r="J34" s="62">
        <f t="shared" si="1"/>
        <v>272.64999999999998</v>
      </c>
      <c r="K34" s="62">
        <f t="shared" si="2"/>
        <v>5</v>
      </c>
      <c r="L34" s="62">
        <f t="shared" si="3"/>
        <v>5</v>
      </c>
      <c r="M34" s="63">
        <f t="shared" si="4"/>
        <v>272.64999999999998</v>
      </c>
    </row>
    <row r="35" spans="1:13" s="64" customFormat="1" ht="16.5" customHeight="1" x14ac:dyDescent="0.2">
      <c r="A35" s="65" t="s">
        <v>28</v>
      </c>
      <c r="B35" s="65" t="s">
        <v>29</v>
      </c>
      <c r="C35" s="66" t="s">
        <v>102</v>
      </c>
      <c r="D35" s="67">
        <v>3.28</v>
      </c>
      <c r="E35" s="67" t="s">
        <v>11</v>
      </c>
      <c r="F35" s="68" t="str">
        <f t="shared" si="0"/>
        <v>0044</v>
      </c>
      <c r="G35" s="69"/>
      <c r="H35" s="70">
        <v>83</v>
      </c>
      <c r="I35" s="70">
        <v>0</v>
      </c>
      <c r="J35" s="62">
        <f t="shared" si="1"/>
        <v>272.24</v>
      </c>
      <c r="K35" s="62">
        <f t="shared" si="2"/>
        <v>83</v>
      </c>
      <c r="L35" s="62">
        <f t="shared" si="3"/>
        <v>83</v>
      </c>
      <c r="M35" s="63">
        <f t="shared" si="4"/>
        <v>272.24</v>
      </c>
    </row>
    <row r="36" spans="1:13" s="64" customFormat="1" ht="16.5" customHeight="1" x14ac:dyDescent="0.2">
      <c r="A36" s="65" t="s">
        <v>284</v>
      </c>
      <c r="B36" s="65" t="s">
        <v>285</v>
      </c>
      <c r="C36" s="66" t="s">
        <v>286</v>
      </c>
      <c r="D36" s="67">
        <v>19.5</v>
      </c>
      <c r="E36" s="67" t="s">
        <v>11</v>
      </c>
      <c r="F36" s="68" t="str">
        <f t="shared" si="0"/>
        <v>0044</v>
      </c>
      <c r="G36" s="69"/>
      <c r="H36" s="70">
        <v>11</v>
      </c>
      <c r="I36" s="70">
        <v>0</v>
      </c>
      <c r="J36" s="62">
        <f t="shared" si="1"/>
        <v>214.5</v>
      </c>
      <c r="K36" s="62">
        <f t="shared" si="2"/>
        <v>11</v>
      </c>
      <c r="L36" s="62">
        <f t="shared" si="3"/>
        <v>11</v>
      </c>
      <c r="M36" s="63">
        <f t="shared" si="4"/>
        <v>214.5</v>
      </c>
    </row>
    <row r="37" spans="1:13" s="64" customFormat="1" ht="16.5" customHeight="1" x14ac:dyDescent="0.2">
      <c r="A37" s="65" t="s">
        <v>51</v>
      </c>
      <c r="B37" s="65" t="s">
        <v>52</v>
      </c>
      <c r="C37" s="66" t="s">
        <v>562</v>
      </c>
      <c r="D37" s="67">
        <v>7.04</v>
      </c>
      <c r="E37" s="67" t="s">
        <v>11</v>
      </c>
      <c r="F37" s="68" t="str">
        <f t="shared" si="0"/>
        <v>0044</v>
      </c>
      <c r="G37" s="69"/>
      <c r="H37" s="70">
        <v>26</v>
      </c>
      <c r="I37" s="70">
        <v>0</v>
      </c>
      <c r="J37" s="62">
        <f t="shared" si="1"/>
        <v>183.04</v>
      </c>
      <c r="K37" s="62">
        <f t="shared" si="2"/>
        <v>26</v>
      </c>
      <c r="L37" s="62">
        <f t="shared" si="3"/>
        <v>26</v>
      </c>
      <c r="M37" s="63">
        <f t="shared" si="4"/>
        <v>183.04</v>
      </c>
    </row>
    <row r="38" spans="1:13" s="64" customFormat="1" ht="16.5" customHeight="1" x14ac:dyDescent="0.2">
      <c r="A38" s="65" t="s">
        <v>155</v>
      </c>
      <c r="B38" s="65" t="s">
        <v>156</v>
      </c>
      <c r="C38" s="66"/>
      <c r="D38" s="67">
        <v>177.93</v>
      </c>
      <c r="E38" s="67" t="s">
        <v>11</v>
      </c>
      <c r="F38" s="68" t="str">
        <f t="shared" si="0"/>
        <v>0044</v>
      </c>
      <c r="G38" s="69"/>
      <c r="H38" s="70">
        <v>1</v>
      </c>
      <c r="I38" s="70">
        <v>0</v>
      </c>
      <c r="J38" s="62">
        <f t="shared" si="1"/>
        <v>177.93</v>
      </c>
      <c r="K38" s="62">
        <f t="shared" si="2"/>
        <v>1</v>
      </c>
      <c r="L38" s="62">
        <f t="shared" si="3"/>
        <v>1</v>
      </c>
      <c r="M38" s="63">
        <f t="shared" si="4"/>
        <v>177.93</v>
      </c>
    </row>
    <row r="39" spans="1:13" s="64" customFormat="1" ht="16.5" customHeight="1" x14ac:dyDescent="0.2">
      <c r="A39" s="65" t="s">
        <v>68</v>
      </c>
      <c r="B39" s="65" t="s">
        <v>69</v>
      </c>
      <c r="C39" s="66"/>
      <c r="D39" s="67">
        <v>175.32</v>
      </c>
      <c r="E39" s="67" t="s">
        <v>11</v>
      </c>
      <c r="F39" s="68" t="str">
        <f t="shared" si="0"/>
        <v>0044</v>
      </c>
      <c r="G39" s="69"/>
      <c r="H39" s="70">
        <v>1</v>
      </c>
      <c r="I39" s="70">
        <v>0</v>
      </c>
      <c r="J39" s="62">
        <f t="shared" si="1"/>
        <v>175.32</v>
      </c>
      <c r="K39" s="62">
        <f t="shared" si="2"/>
        <v>1</v>
      </c>
      <c r="L39" s="62">
        <f t="shared" si="3"/>
        <v>1</v>
      </c>
      <c r="M39" s="63">
        <f t="shared" si="4"/>
        <v>175.32</v>
      </c>
    </row>
    <row r="40" spans="1:13" s="64" customFormat="1" ht="16.5" customHeight="1" x14ac:dyDescent="0.2">
      <c r="A40" s="65" t="s">
        <v>14</v>
      </c>
      <c r="B40" s="65" t="s">
        <v>15</v>
      </c>
      <c r="C40" s="66"/>
      <c r="D40" s="67">
        <v>172.35</v>
      </c>
      <c r="E40" s="67" t="s">
        <v>11</v>
      </c>
      <c r="F40" s="68" t="str">
        <f t="shared" si="0"/>
        <v>0044</v>
      </c>
      <c r="G40" s="69"/>
      <c r="H40" s="70">
        <v>1</v>
      </c>
      <c r="I40" s="70">
        <v>0</v>
      </c>
      <c r="J40" s="62">
        <f t="shared" si="1"/>
        <v>172.35</v>
      </c>
      <c r="K40" s="62">
        <f t="shared" si="2"/>
        <v>1</v>
      </c>
      <c r="L40" s="62">
        <f t="shared" si="3"/>
        <v>1</v>
      </c>
      <c r="M40" s="63">
        <f t="shared" si="4"/>
        <v>172.35</v>
      </c>
    </row>
    <row r="41" spans="1:13" s="64" customFormat="1" ht="16.5" customHeight="1" x14ac:dyDescent="0.2">
      <c r="A41" s="65" t="s">
        <v>173</v>
      </c>
      <c r="B41" s="65" t="s">
        <v>174</v>
      </c>
      <c r="C41" s="66" t="s">
        <v>330</v>
      </c>
      <c r="D41" s="67">
        <v>167.25</v>
      </c>
      <c r="E41" s="67" t="s">
        <v>11</v>
      </c>
      <c r="F41" s="68" t="str">
        <f t="shared" ref="F41:F65" si="5">+$M$3</f>
        <v>0044</v>
      </c>
      <c r="G41" s="69"/>
      <c r="H41" s="70">
        <v>1</v>
      </c>
      <c r="I41" s="70">
        <v>0</v>
      </c>
      <c r="J41" s="62">
        <f t="shared" ref="J41:J65" si="6">D41*H41</f>
        <v>167.25</v>
      </c>
      <c r="K41" s="62">
        <f t="shared" ref="K41:K65" si="7">H41-I41</f>
        <v>1</v>
      </c>
      <c r="L41" s="62">
        <f t="shared" ref="L41:L65" si="8">H41-I41</f>
        <v>1</v>
      </c>
      <c r="M41" s="63">
        <f t="shared" ref="M41:M65" si="9">L41*D41</f>
        <v>167.25</v>
      </c>
    </row>
    <row r="42" spans="1:13" s="64" customFormat="1" ht="16.5" customHeight="1" x14ac:dyDescent="0.2">
      <c r="A42" s="65" t="s">
        <v>28</v>
      </c>
      <c r="B42" s="65" t="s">
        <v>29</v>
      </c>
      <c r="C42" s="66" t="s">
        <v>513</v>
      </c>
      <c r="D42" s="67">
        <v>3.28</v>
      </c>
      <c r="E42" s="67" t="s">
        <v>11</v>
      </c>
      <c r="F42" s="68" t="str">
        <f t="shared" si="5"/>
        <v>0044</v>
      </c>
      <c r="G42" s="69"/>
      <c r="H42" s="70">
        <v>48</v>
      </c>
      <c r="I42" s="70">
        <v>0</v>
      </c>
      <c r="J42" s="62">
        <f t="shared" si="6"/>
        <v>157.44</v>
      </c>
      <c r="K42" s="62">
        <f t="shared" si="7"/>
        <v>48</v>
      </c>
      <c r="L42" s="62">
        <f t="shared" si="8"/>
        <v>48</v>
      </c>
      <c r="M42" s="63">
        <f t="shared" si="9"/>
        <v>157.44</v>
      </c>
    </row>
    <row r="43" spans="1:13" s="64" customFormat="1" ht="16.5" customHeight="1" x14ac:dyDescent="0.2">
      <c r="A43" s="65" t="s">
        <v>32</v>
      </c>
      <c r="B43" s="65" t="s">
        <v>33</v>
      </c>
      <c r="C43" s="66" t="s">
        <v>251</v>
      </c>
      <c r="D43" s="67">
        <v>3.03</v>
      </c>
      <c r="E43" s="67" t="s">
        <v>11</v>
      </c>
      <c r="F43" s="68" t="str">
        <f t="shared" si="5"/>
        <v>0044</v>
      </c>
      <c r="G43" s="69"/>
      <c r="H43" s="70">
        <v>48</v>
      </c>
      <c r="I43" s="70">
        <v>0</v>
      </c>
      <c r="J43" s="62">
        <f t="shared" si="6"/>
        <v>145.44</v>
      </c>
      <c r="K43" s="62">
        <f t="shared" si="7"/>
        <v>48</v>
      </c>
      <c r="L43" s="62">
        <f t="shared" si="8"/>
        <v>48</v>
      </c>
      <c r="M43" s="63">
        <f t="shared" si="9"/>
        <v>145.44</v>
      </c>
    </row>
    <row r="44" spans="1:13" s="64" customFormat="1" ht="16.5" customHeight="1" x14ac:dyDescent="0.2">
      <c r="A44" s="65" t="s">
        <v>370</v>
      </c>
      <c r="B44" s="65" t="s">
        <v>371</v>
      </c>
      <c r="C44" s="66"/>
      <c r="D44" s="67">
        <v>3.68</v>
      </c>
      <c r="E44" s="67" t="s">
        <v>11</v>
      </c>
      <c r="F44" s="68" t="str">
        <f t="shared" si="5"/>
        <v>0044</v>
      </c>
      <c r="G44" s="69"/>
      <c r="H44" s="70">
        <v>34</v>
      </c>
      <c r="I44" s="70">
        <v>0</v>
      </c>
      <c r="J44" s="62">
        <f t="shared" si="6"/>
        <v>125.12</v>
      </c>
      <c r="K44" s="62">
        <f t="shared" si="7"/>
        <v>34</v>
      </c>
      <c r="L44" s="62">
        <f t="shared" si="8"/>
        <v>34</v>
      </c>
      <c r="M44" s="63">
        <f t="shared" si="9"/>
        <v>125.12</v>
      </c>
    </row>
    <row r="45" spans="1:13" s="64" customFormat="1" ht="16.5" customHeight="1" x14ac:dyDescent="0.2">
      <c r="A45" s="65" t="s">
        <v>232</v>
      </c>
      <c r="B45" s="65" t="s">
        <v>233</v>
      </c>
      <c r="C45" s="66" t="s">
        <v>234</v>
      </c>
      <c r="D45" s="67">
        <v>27.68</v>
      </c>
      <c r="E45" s="67" t="s">
        <v>11</v>
      </c>
      <c r="F45" s="68" t="str">
        <f t="shared" si="5"/>
        <v>0044</v>
      </c>
      <c r="G45" s="69"/>
      <c r="H45" s="70">
        <v>4</v>
      </c>
      <c r="I45" s="70">
        <v>0</v>
      </c>
      <c r="J45" s="62">
        <f t="shared" si="6"/>
        <v>110.72</v>
      </c>
      <c r="K45" s="62">
        <f t="shared" si="7"/>
        <v>4</v>
      </c>
      <c r="L45" s="62">
        <f t="shared" si="8"/>
        <v>4</v>
      </c>
      <c r="M45" s="63">
        <f t="shared" si="9"/>
        <v>110.72</v>
      </c>
    </row>
    <row r="46" spans="1:13" s="64" customFormat="1" ht="16.5" customHeight="1" x14ac:dyDescent="0.2">
      <c r="A46" s="65" t="s">
        <v>28</v>
      </c>
      <c r="B46" s="65" t="s">
        <v>29</v>
      </c>
      <c r="C46" s="66" t="s">
        <v>250</v>
      </c>
      <c r="D46" s="67">
        <v>3.28</v>
      </c>
      <c r="E46" s="67" t="s">
        <v>11</v>
      </c>
      <c r="F46" s="68" t="str">
        <f t="shared" si="5"/>
        <v>0044</v>
      </c>
      <c r="G46" s="69"/>
      <c r="H46" s="70">
        <v>32</v>
      </c>
      <c r="I46" s="70">
        <v>0</v>
      </c>
      <c r="J46" s="62">
        <f t="shared" si="6"/>
        <v>104.96</v>
      </c>
      <c r="K46" s="62">
        <f t="shared" si="7"/>
        <v>32</v>
      </c>
      <c r="L46" s="62">
        <f t="shared" si="8"/>
        <v>32</v>
      </c>
      <c r="M46" s="63">
        <f t="shared" si="9"/>
        <v>104.96</v>
      </c>
    </row>
    <row r="47" spans="1:13" s="64" customFormat="1" ht="16.5" customHeight="1" x14ac:dyDescent="0.2">
      <c r="A47" s="65" t="s">
        <v>58</v>
      </c>
      <c r="B47" s="65" t="s">
        <v>59</v>
      </c>
      <c r="C47" s="66" t="s">
        <v>61</v>
      </c>
      <c r="D47" s="67">
        <v>10.46</v>
      </c>
      <c r="E47" s="67" t="s">
        <v>11</v>
      </c>
      <c r="F47" s="68" t="str">
        <f t="shared" si="5"/>
        <v>0044</v>
      </c>
      <c r="G47" s="69"/>
      <c r="H47" s="70">
        <v>10</v>
      </c>
      <c r="I47" s="70">
        <v>0</v>
      </c>
      <c r="J47" s="62">
        <f t="shared" si="6"/>
        <v>104.60000000000001</v>
      </c>
      <c r="K47" s="62">
        <f t="shared" si="7"/>
        <v>10</v>
      </c>
      <c r="L47" s="62">
        <f t="shared" si="8"/>
        <v>10</v>
      </c>
      <c r="M47" s="63">
        <f t="shared" si="9"/>
        <v>104.60000000000001</v>
      </c>
    </row>
    <row r="48" spans="1:13" s="64" customFormat="1" ht="16.5" customHeight="1" x14ac:dyDescent="0.2">
      <c r="A48" s="65" t="s">
        <v>58</v>
      </c>
      <c r="B48" s="65" t="s">
        <v>59</v>
      </c>
      <c r="C48" s="66" t="s">
        <v>278</v>
      </c>
      <c r="D48" s="67">
        <v>10.46</v>
      </c>
      <c r="E48" s="67" t="s">
        <v>11</v>
      </c>
      <c r="F48" s="68" t="str">
        <f t="shared" si="5"/>
        <v>0044</v>
      </c>
      <c r="G48" s="69"/>
      <c r="H48" s="70">
        <v>8</v>
      </c>
      <c r="I48" s="70">
        <v>0</v>
      </c>
      <c r="J48" s="62">
        <f t="shared" si="6"/>
        <v>83.68</v>
      </c>
      <c r="K48" s="62">
        <f t="shared" si="7"/>
        <v>8</v>
      </c>
      <c r="L48" s="62">
        <f t="shared" si="8"/>
        <v>8</v>
      </c>
      <c r="M48" s="63">
        <f t="shared" si="9"/>
        <v>83.68</v>
      </c>
    </row>
    <row r="49" spans="1:13" s="64" customFormat="1" ht="16.5" customHeight="1" x14ac:dyDescent="0.2">
      <c r="A49" s="65" t="s">
        <v>239</v>
      </c>
      <c r="B49" s="65" t="s">
        <v>240</v>
      </c>
      <c r="C49" s="66" t="s">
        <v>241</v>
      </c>
      <c r="D49" s="67">
        <v>26.36</v>
      </c>
      <c r="E49" s="67" t="s">
        <v>11</v>
      </c>
      <c r="F49" s="68" t="str">
        <f t="shared" si="5"/>
        <v>0044</v>
      </c>
      <c r="G49" s="69"/>
      <c r="H49" s="70">
        <v>3</v>
      </c>
      <c r="I49" s="70">
        <v>0</v>
      </c>
      <c r="J49" s="62">
        <f t="shared" si="6"/>
        <v>79.08</v>
      </c>
      <c r="K49" s="62">
        <f t="shared" si="7"/>
        <v>3</v>
      </c>
      <c r="L49" s="62">
        <f t="shared" si="8"/>
        <v>3</v>
      </c>
      <c r="M49" s="63">
        <f t="shared" si="9"/>
        <v>79.08</v>
      </c>
    </row>
    <row r="50" spans="1:13" s="64" customFormat="1" ht="16.5" customHeight="1" x14ac:dyDescent="0.2">
      <c r="A50" s="65" t="s">
        <v>239</v>
      </c>
      <c r="B50" s="65" t="s">
        <v>240</v>
      </c>
      <c r="C50" s="66" t="s">
        <v>244</v>
      </c>
      <c r="D50" s="67">
        <v>26.36</v>
      </c>
      <c r="E50" s="67" t="s">
        <v>11</v>
      </c>
      <c r="F50" s="68" t="str">
        <f t="shared" si="5"/>
        <v>0044</v>
      </c>
      <c r="G50" s="69"/>
      <c r="H50" s="70">
        <v>3</v>
      </c>
      <c r="I50" s="70">
        <v>0</v>
      </c>
      <c r="J50" s="62">
        <f t="shared" si="6"/>
        <v>79.08</v>
      </c>
      <c r="K50" s="62">
        <f t="shared" si="7"/>
        <v>3</v>
      </c>
      <c r="L50" s="62">
        <f t="shared" si="8"/>
        <v>3</v>
      </c>
      <c r="M50" s="63">
        <f t="shared" si="9"/>
        <v>79.08</v>
      </c>
    </row>
    <row r="51" spans="1:13" s="64" customFormat="1" ht="16.5" customHeight="1" x14ac:dyDescent="0.2">
      <c r="A51" s="65" t="s">
        <v>134</v>
      </c>
      <c r="B51" s="65" t="s">
        <v>135</v>
      </c>
      <c r="C51" s="66" t="s">
        <v>136</v>
      </c>
      <c r="D51" s="67">
        <v>19.7</v>
      </c>
      <c r="E51" s="67" t="s">
        <v>11</v>
      </c>
      <c r="F51" s="68" t="str">
        <f t="shared" si="5"/>
        <v>0044</v>
      </c>
      <c r="G51" s="69"/>
      <c r="H51" s="70">
        <v>4</v>
      </c>
      <c r="I51" s="70">
        <v>0</v>
      </c>
      <c r="J51" s="62">
        <f t="shared" si="6"/>
        <v>78.8</v>
      </c>
      <c r="K51" s="62">
        <f t="shared" si="7"/>
        <v>4</v>
      </c>
      <c r="L51" s="62">
        <f t="shared" si="8"/>
        <v>4</v>
      </c>
      <c r="M51" s="63">
        <f t="shared" si="9"/>
        <v>78.8</v>
      </c>
    </row>
    <row r="52" spans="1:13" s="64" customFormat="1" ht="16.5" customHeight="1" x14ac:dyDescent="0.2">
      <c r="A52" s="65" t="s">
        <v>458</v>
      </c>
      <c r="B52" s="65" t="s">
        <v>459</v>
      </c>
      <c r="C52" s="66"/>
      <c r="D52" s="67">
        <v>12.05</v>
      </c>
      <c r="E52" s="67" t="s">
        <v>11</v>
      </c>
      <c r="F52" s="68" t="str">
        <f t="shared" si="5"/>
        <v>0044</v>
      </c>
      <c r="G52" s="69"/>
      <c r="H52" s="70">
        <v>6</v>
      </c>
      <c r="I52" s="70">
        <v>0</v>
      </c>
      <c r="J52" s="62">
        <f t="shared" si="6"/>
        <v>72.300000000000011</v>
      </c>
      <c r="K52" s="62">
        <f t="shared" si="7"/>
        <v>6</v>
      </c>
      <c r="L52" s="62">
        <f t="shared" si="8"/>
        <v>6</v>
      </c>
      <c r="M52" s="63">
        <f t="shared" si="9"/>
        <v>72.300000000000011</v>
      </c>
    </row>
    <row r="53" spans="1:13" s="64" customFormat="1" ht="16.5" customHeight="1" x14ac:dyDescent="0.2">
      <c r="A53" s="65" t="s">
        <v>326</v>
      </c>
      <c r="B53" s="65" t="s">
        <v>327</v>
      </c>
      <c r="C53" s="66"/>
      <c r="D53" s="67">
        <v>11.18</v>
      </c>
      <c r="E53" s="67" t="s">
        <v>11</v>
      </c>
      <c r="F53" s="68" t="str">
        <f t="shared" si="5"/>
        <v>0044</v>
      </c>
      <c r="G53" s="69"/>
      <c r="H53" s="70">
        <v>6</v>
      </c>
      <c r="I53" s="70">
        <v>0</v>
      </c>
      <c r="J53" s="62">
        <f t="shared" si="6"/>
        <v>67.08</v>
      </c>
      <c r="K53" s="62">
        <f t="shared" si="7"/>
        <v>6</v>
      </c>
      <c r="L53" s="62">
        <f t="shared" si="8"/>
        <v>6</v>
      </c>
      <c r="M53" s="63">
        <f t="shared" si="9"/>
        <v>67.08</v>
      </c>
    </row>
    <row r="54" spans="1:13" s="64" customFormat="1" ht="16.5" customHeight="1" x14ac:dyDescent="0.2">
      <c r="A54" s="65" t="s">
        <v>58</v>
      </c>
      <c r="B54" s="65" t="s">
        <v>59</v>
      </c>
      <c r="C54" s="66" t="s">
        <v>277</v>
      </c>
      <c r="D54" s="67">
        <v>10.46</v>
      </c>
      <c r="E54" s="67" t="s">
        <v>11</v>
      </c>
      <c r="F54" s="68" t="str">
        <f t="shared" si="5"/>
        <v>0044</v>
      </c>
      <c r="G54" s="69"/>
      <c r="H54" s="70">
        <v>6</v>
      </c>
      <c r="I54" s="70">
        <v>0</v>
      </c>
      <c r="J54" s="62">
        <f t="shared" si="6"/>
        <v>62.760000000000005</v>
      </c>
      <c r="K54" s="62">
        <f t="shared" si="7"/>
        <v>6</v>
      </c>
      <c r="L54" s="62">
        <f t="shared" si="8"/>
        <v>6</v>
      </c>
      <c r="M54" s="63">
        <f t="shared" si="9"/>
        <v>62.760000000000005</v>
      </c>
    </row>
    <row r="55" spans="1:13" s="64" customFormat="1" ht="16.5" customHeight="1" x14ac:dyDescent="0.2">
      <c r="A55" s="65" t="s">
        <v>51</v>
      </c>
      <c r="B55" s="65" t="s">
        <v>52</v>
      </c>
      <c r="C55" s="66" t="s">
        <v>54</v>
      </c>
      <c r="D55" s="67">
        <v>7.04</v>
      </c>
      <c r="E55" s="67" t="s">
        <v>11</v>
      </c>
      <c r="F55" s="68" t="str">
        <f t="shared" si="5"/>
        <v>0044</v>
      </c>
      <c r="G55" s="69"/>
      <c r="H55" s="70">
        <v>7</v>
      </c>
      <c r="I55" s="70">
        <v>0</v>
      </c>
      <c r="J55" s="62">
        <f t="shared" si="6"/>
        <v>49.28</v>
      </c>
      <c r="K55" s="62">
        <f t="shared" si="7"/>
        <v>7</v>
      </c>
      <c r="L55" s="62">
        <f t="shared" si="8"/>
        <v>7</v>
      </c>
      <c r="M55" s="63">
        <f t="shared" si="9"/>
        <v>49.28</v>
      </c>
    </row>
    <row r="56" spans="1:13" s="64" customFormat="1" ht="16.5" customHeight="1" x14ac:dyDescent="0.2">
      <c r="A56" s="65" t="s">
        <v>214</v>
      </c>
      <c r="B56" s="65" t="s">
        <v>215</v>
      </c>
      <c r="C56" s="66" t="s">
        <v>216</v>
      </c>
      <c r="D56" s="67">
        <v>15.11</v>
      </c>
      <c r="E56" s="67" t="s">
        <v>11</v>
      </c>
      <c r="F56" s="68" t="str">
        <f t="shared" si="5"/>
        <v>0044</v>
      </c>
      <c r="G56" s="69"/>
      <c r="H56" s="70">
        <v>3</v>
      </c>
      <c r="I56" s="70">
        <v>0</v>
      </c>
      <c r="J56" s="62">
        <f t="shared" si="6"/>
        <v>45.33</v>
      </c>
      <c r="K56" s="62">
        <f t="shared" si="7"/>
        <v>3</v>
      </c>
      <c r="L56" s="62">
        <f t="shared" si="8"/>
        <v>3</v>
      </c>
      <c r="M56" s="63">
        <f t="shared" si="9"/>
        <v>45.33</v>
      </c>
    </row>
    <row r="57" spans="1:13" s="64" customFormat="1" ht="16.5" customHeight="1" x14ac:dyDescent="0.2">
      <c r="A57" s="65" t="s">
        <v>32</v>
      </c>
      <c r="B57" s="65" t="s">
        <v>33</v>
      </c>
      <c r="C57" s="66" t="s">
        <v>518</v>
      </c>
      <c r="D57" s="67">
        <v>3.03</v>
      </c>
      <c r="E57" s="67" t="s">
        <v>11</v>
      </c>
      <c r="F57" s="68" t="str">
        <f t="shared" si="5"/>
        <v>0044</v>
      </c>
      <c r="G57" s="69"/>
      <c r="H57" s="70">
        <v>13</v>
      </c>
      <c r="I57" s="70">
        <v>0</v>
      </c>
      <c r="J57" s="62">
        <f t="shared" si="6"/>
        <v>39.39</v>
      </c>
      <c r="K57" s="62">
        <f t="shared" si="7"/>
        <v>13</v>
      </c>
      <c r="L57" s="62">
        <f t="shared" si="8"/>
        <v>13</v>
      </c>
      <c r="M57" s="63">
        <f t="shared" si="9"/>
        <v>39.39</v>
      </c>
    </row>
    <row r="58" spans="1:13" s="64" customFormat="1" ht="16.5" customHeight="1" x14ac:dyDescent="0.2">
      <c r="A58" s="65" t="s">
        <v>55</v>
      </c>
      <c r="B58" s="65" t="s">
        <v>56</v>
      </c>
      <c r="C58" s="66" t="s">
        <v>274</v>
      </c>
      <c r="D58" s="67">
        <v>3.32</v>
      </c>
      <c r="E58" s="67" t="s">
        <v>11</v>
      </c>
      <c r="F58" s="68" t="str">
        <f t="shared" si="5"/>
        <v>0044</v>
      </c>
      <c r="G58" s="69"/>
      <c r="H58" s="70">
        <v>11</v>
      </c>
      <c r="I58" s="70">
        <v>0</v>
      </c>
      <c r="J58" s="62">
        <f t="shared" si="6"/>
        <v>36.519999999999996</v>
      </c>
      <c r="K58" s="62">
        <f t="shared" si="7"/>
        <v>11</v>
      </c>
      <c r="L58" s="62">
        <f t="shared" si="8"/>
        <v>11</v>
      </c>
      <c r="M58" s="63">
        <f t="shared" si="9"/>
        <v>36.519999999999996</v>
      </c>
    </row>
    <row r="59" spans="1:13" s="64" customFormat="1" ht="16.5" customHeight="1" x14ac:dyDescent="0.2">
      <c r="A59" s="65" t="s">
        <v>419</v>
      </c>
      <c r="B59" s="65" t="s">
        <v>420</v>
      </c>
      <c r="C59" s="66" t="s">
        <v>421</v>
      </c>
      <c r="D59" s="67">
        <v>28.57</v>
      </c>
      <c r="E59" s="67" t="s">
        <v>11</v>
      </c>
      <c r="F59" s="68" t="str">
        <f t="shared" si="5"/>
        <v>0044</v>
      </c>
      <c r="G59" s="69"/>
      <c r="H59" s="70">
        <v>1</v>
      </c>
      <c r="I59" s="70">
        <v>0</v>
      </c>
      <c r="J59" s="62">
        <f t="shared" si="6"/>
        <v>28.57</v>
      </c>
      <c r="K59" s="62">
        <f t="shared" si="7"/>
        <v>1</v>
      </c>
      <c r="L59" s="62">
        <f t="shared" si="8"/>
        <v>1</v>
      </c>
      <c r="M59" s="63">
        <f t="shared" si="9"/>
        <v>28.57</v>
      </c>
    </row>
    <row r="60" spans="1:13" s="64" customFormat="1" ht="16.5" customHeight="1" x14ac:dyDescent="0.2">
      <c r="A60" s="65" t="s">
        <v>105</v>
      </c>
      <c r="B60" s="65" t="s">
        <v>106</v>
      </c>
      <c r="C60" s="66" t="s">
        <v>107</v>
      </c>
      <c r="D60" s="67">
        <v>24.23</v>
      </c>
      <c r="E60" s="67" t="s">
        <v>11</v>
      </c>
      <c r="F60" s="68" t="str">
        <f t="shared" si="5"/>
        <v>0044</v>
      </c>
      <c r="G60" s="69"/>
      <c r="H60" s="70">
        <v>1</v>
      </c>
      <c r="I60" s="70">
        <v>0</v>
      </c>
      <c r="J60" s="62">
        <f t="shared" si="6"/>
        <v>24.23</v>
      </c>
      <c r="K60" s="62">
        <f t="shared" si="7"/>
        <v>1</v>
      </c>
      <c r="L60" s="62">
        <f t="shared" si="8"/>
        <v>1</v>
      </c>
      <c r="M60" s="63">
        <f t="shared" si="9"/>
        <v>24.23</v>
      </c>
    </row>
    <row r="61" spans="1:13" s="64" customFormat="1" ht="16.5" customHeight="1" x14ac:dyDescent="0.2">
      <c r="A61" s="65" t="s">
        <v>58</v>
      </c>
      <c r="B61" s="65" t="s">
        <v>59</v>
      </c>
      <c r="C61" s="66" t="s">
        <v>279</v>
      </c>
      <c r="D61" s="67">
        <v>10.46</v>
      </c>
      <c r="E61" s="67" t="s">
        <v>11</v>
      </c>
      <c r="F61" s="68" t="str">
        <f t="shared" si="5"/>
        <v>0044</v>
      </c>
      <c r="G61" s="69"/>
      <c r="H61" s="70">
        <v>2</v>
      </c>
      <c r="I61" s="70">
        <v>0</v>
      </c>
      <c r="J61" s="62">
        <f t="shared" si="6"/>
        <v>20.92</v>
      </c>
      <c r="K61" s="62">
        <f t="shared" si="7"/>
        <v>2</v>
      </c>
      <c r="L61" s="62">
        <f t="shared" si="8"/>
        <v>2</v>
      </c>
      <c r="M61" s="63">
        <f t="shared" si="9"/>
        <v>20.92</v>
      </c>
    </row>
    <row r="62" spans="1:13" s="64" customFormat="1" ht="16.5" customHeight="1" x14ac:dyDescent="0.2">
      <c r="A62" s="65" t="s">
        <v>134</v>
      </c>
      <c r="B62" s="65" t="s">
        <v>135</v>
      </c>
      <c r="C62" s="66" t="s">
        <v>587</v>
      </c>
      <c r="D62" s="67">
        <v>19.7</v>
      </c>
      <c r="E62" s="67" t="s">
        <v>11</v>
      </c>
      <c r="F62" s="68" t="str">
        <f t="shared" si="5"/>
        <v>0044</v>
      </c>
      <c r="G62" s="69"/>
      <c r="H62" s="70">
        <v>1</v>
      </c>
      <c r="I62" s="70">
        <v>0</v>
      </c>
      <c r="J62" s="62">
        <f t="shared" si="6"/>
        <v>19.7</v>
      </c>
      <c r="K62" s="62">
        <f t="shared" si="7"/>
        <v>1</v>
      </c>
      <c r="L62" s="62">
        <f t="shared" si="8"/>
        <v>1</v>
      </c>
      <c r="M62" s="63">
        <f t="shared" si="9"/>
        <v>19.7</v>
      </c>
    </row>
    <row r="63" spans="1:13" s="64" customFormat="1" ht="16.5" customHeight="1" x14ac:dyDescent="0.2">
      <c r="A63" s="56" t="s">
        <v>62</v>
      </c>
      <c r="B63" s="56" t="s">
        <v>63</v>
      </c>
      <c r="C63" s="57" t="s">
        <v>64</v>
      </c>
      <c r="D63" s="58">
        <v>4.1500000000000004</v>
      </c>
      <c r="E63" s="58" t="s">
        <v>11</v>
      </c>
      <c r="F63" s="59" t="str">
        <f t="shared" si="5"/>
        <v>0044</v>
      </c>
      <c r="G63" s="60"/>
      <c r="H63" s="61">
        <v>0</v>
      </c>
      <c r="I63" s="61">
        <v>3</v>
      </c>
      <c r="J63" s="62">
        <f t="shared" si="6"/>
        <v>0</v>
      </c>
      <c r="K63" s="62">
        <f t="shared" si="7"/>
        <v>-3</v>
      </c>
      <c r="L63" s="62">
        <f t="shared" si="8"/>
        <v>-3</v>
      </c>
      <c r="M63" s="63">
        <f t="shared" si="9"/>
        <v>-12.450000000000001</v>
      </c>
    </row>
    <row r="64" spans="1:13" s="64" customFormat="1" ht="16.5" customHeight="1" x14ac:dyDescent="0.2">
      <c r="A64" s="65" t="s">
        <v>40</v>
      </c>
      <c r="B64" s="65" t="s">
        <v>41</v>
      </c>
      <c r="C64" s="66" t="s">
        <v>254</v>
      </c>
      <c r="D64" s="67">
        <v>2.91</v>
      </c>
      <c r="E64" s="67" t="s">
        <v>11</v>
      </c>
      <c r="F64" s="68" t="str">
        <f t="shared" si="5"/>
        <v>0044</v>
      </c>
      <c r="G64" s="69"/>
      <c r="H64" s="70">
        <v>3</v>
      </c>
      <c r="I64" s="70">
        <v>0</v>
      </c>
      <c r="J64" s="62">
        <f t="shared" si="6"/>
        <v>8.73</v>
      </c>
      <c r="K64" s="62">
        <f t="shared" si="7"/>
        <v>3</v>
      </c>
      <c r="L64" s="62">
        <f t="shared" si="8"/>
        <v>3</v>
      </c>
      <c r="M64" s="63">
        <f t="shared" si="9"/>
        <v>8.73</v>
      </c>
    </row>
    <row r="65" spans="1:13" s="64" customFormat="1" ht="16.5" customHeight="1" x14ac:dyDescent="0.2">
      <c r="A65" s="65" t="s">
        <v>28</v>
      </c>
      <c r="B65" s="65" t="s">
        <v>29</v>
      </c>
      <c r="C65" s="66" t="s">
        <v>103</v>
      </c>
      <c r="D65" s="67">
        <v>3.28</v>
      </c>
      <c r="E65" s="67" t="s">
        <v>11</v>
      </c>
      <c r="F65" s="68" t="str">
        <f t="shared" si="5"/>
        <v>0044</v>
      </c>
      <c r="G65" s="69"/>
      <c r="H65" s="70">
        <v>2</v>
      </c>
      <c r="I65" s="70">
        <v>0</v>
      </c>
      <c r="J65" s="62">
        <f t="shared" si="6"/>
        <v>6.56</v>
      </c>
      <c r="K65" s="62">
        <f t="shared" si="7"/>
        <v>2</v>
      </c>
      <c r="L65" s="62">
        <f t="shared" si="8"/>
        <v>2</v>
      </c>
      <c r="M65" s="63">
        <f t="shared" si="9"/>
        <v>6.56</v>
      </c>
    </row>
    <row r="66" spans="1:13" s="64" customFormat="1" ht="16.5" customHeight="1" x14ac:dyDescent="0.2">
      <c r="A66" s="56"/>
      <c r="B66" s="56"/>
      <c r="C66" s="57"/>
      <c r="D66" s="58"/>
      <c r="E66" s="58"/>
      <c r="F66" s="59"/>
      <c r="G66" s="60"/>
      <c r="H66" s="61">
        <f t="shared" ref="H66:M66" si="10">SUM(H9:H65)</f>
        <v>3075</v>
      </c>
      <c r="I66" s="61">
        <f t="shared" si="10"/>
        <v>3</v>
      </c>
      <c r="J66" s="62">
        <f t="shared" si="10"/>
        <v>40936.110000000022</v>
      </c>
      <c r="K66" s="62">
        <f t="shared" si="10"/>
        <v>3072</v>
      </c>
      <c r="L66" s="62">
        <f t="shared" si="10"/>
        <v>3072</v>
      </c>
      <c r="M66" s="63">
        <f t="shared" si="10"/>
        <v>40923.660000000025</v>
      </c>
    </row>
    <row r="67" spans="1:13" s="64" customFormat="1" ht="16.5" customHeight="1" x14ac:dyDescent="0.2"/>
    <row r="68" spans="1:13" s="64" customFormat="1" ht="16.5" customHeight="1" x14ac:dyDescent="0.2"/>
    <row r="69" spans="1:13" s="64" customFormat="1" ht="16.5" customHeight="1" x14ac:dyDescent="0.2"/>
    <row r="70" spans="1:13" s="64" customFormat="1" ht="16.5" customHeight="1" x14ac:dyDescent="0.2"/>
    <row r="71" spans="1:13" s="64" customFormat="1" ht="16.5" customHeight="1" x14ac:dyDescent="0.2"/>
    <row r="72" spans="1:13" s="64" customFormat="1" ht="16.5" customHeight="1" x14ac:dyDescent="0.2"/>
    <row r="73" spans="1:13" s="64" customFormat="1" ht="16.5" customHeight="1" x14ac:dyDescent="0.2"/>
    <row r="74" spans="1:13" s="64" customFormat="1" ht="16.5" customHeight="1" x14ac:dyDescent="0.2"/>
    <row r="75" spans="1:13" s="64" customFormat="1" ht="16.5" customHeight="1" x14ac:dyDescent="0.2"/>
    <row r="76" spans="1:13" s="64" customFormat="1" ht="16.5" customHeight="1" x14ac:dyDescent="0.2"/>
    <row r="77" spans="1:13" s="64" customFormat="1" ht="16.5" customHeight="1" x14ac:dyDescent="0.2"/>
    <row r="78" spans="1:13" s="64" customFormat="1" ht="16.5" customHeight="1" x14ac:dyDescent="0.2"/>
    <row r="79" spans="1:13" s="64" customFormat="1" ht="16.5" customHeight="1" x14ac:dyDescent="0.2"/>
    <row r="80" spans="1:13" s="64" customFormat="1" ht="16.5" customHeight="1" x14ac:dyDescent="0.2"/>
    <row r="81" s="64" customFormat="1" ht="16.5" customHeight="1" x14ac:dyDescent="0.2"/>
    <row r="82" s="64" customFormat="1" ht="16.5" customHeight="1" x14ac:dyDescent="0.2"/>
    <row r="83" s="64" customFormat="1" ht="16.5" customHeight="1" x14ac:dyDescent="0.2"/>
    <row r="84" s="64" customFormat="1" ht="16.5" customHeight="1" x14ac:dyDescent="0.2"/>
    <row r="85" s="64" customFormat="1" ht="16.5" customHeight="1" x14ac:dyDescent="0.2"/>
    <row r="86" s="64" customFormat="1" ht="16.5" customHeight="1" x14ac:dyDescent="0.2"/>
    <row r="87" s="64" customFormat="1" ht="16.5" customHeight="1" x14ac:dyDescent="0.2"/>
    <row r="88" s="64" customFormat="1" ht="16.5" customHeight="1" x14ac:dyDescent="0.2"/>
    <row r="89" s="64" customFormat="1" ht="16.5" customHeight="1" x14ac:dyDescent="0.2"/>
    <row r="90" s="64" customFormat="1" ht="16.5" customHeight="1" x14ac:dyDescent="0.2"/>
    <row r="91" s="64" customFormat="1" ht="16.5" customHeight="1" x14ac:dyDescent="0.2"/>
    <row r="92" s="64" customFormat="1" ht="16.5" customHeight="1" x14ac:dyDescent="0.2"/>
    <row r="93" s="64" customFormat="1" ht="16.5" customHeight="1" x14ac:dyDescent="0.2"/>
    <row r="94" s="64" customFormat="1" ht="16.5" customHeight="1" x14ac:dyDescent="0.2"/>
    <row r="95" s="64" customFormat="1" ht="16.5" customHeight="1" x14ac:dyDescent="0.2"/>
    <row r="96" s="64" customFormat="1" ht="16.5" customHeight="1" x14ac:dyDescent="0.2"/>
    <row r="97" s="64" customFormat="1" ht="16.5" customHeight="1" x14ac:dyDescent="0.2"/>
    <row r="98" s="64" customFormat="1" ht="16.5" customHeight="1" x14ac:dyDescent="0.2"/>
    <row r="99" s="64" customFormat="1" ht="16.5" customHeight="1" x14ac:dyDescent="0.2"/>
    <row r="100" s="64" customFormat="1" ht="16.5" customHeight="1" x14ac:dyDescent="0.2"/>
    <row r="101" s="64" customFormat="1" ht="16.5" customHeight="1" x14ac:dyDescent="0.2"/>
    <row r="102" s="64" customFormat="1" ht="16.5" customHeight="1" x14ac:dyDescent="0.2"/>
    <row r="103" s="64" customFormat="1" ht="16.5" customHeight="1" x14ac:dyDescent="0.2"/>
    <row r="104" s="64" customFormat="1" ht="16.5" customHeight="1" x14ac:dyDescent="0.2"/>
    <row r="105" s="64" customFormat="1" ht="16.5" customHeight="1" x14ac:dyDescent="0.2"/>
    <row r="106" s="64" customFormat="1" ht="16.5" customHeight="1" x14ac:dyDescent="0.2"/>
    <row r="107" s="64" customFormat="1" ht="16.5" customHeight="1" x14ac:dyDescent="0.2"/>
    <row r="108" s="64" customFormat="1" ht="16.5" customHeight="1" x14ac:dyDescent="0.2"/>
    <row r="109" s="64" customFormat="1" ht="16.5" customHeight="1" x14ac:dyDescent="0.2"/>
    <row r="110" s="64" customFormat="1" ht="16.5" customHeight="1" x14ac:dyDescent="0.2"/>
    <row r="111" s="64" customFormat="1" ht="16.5" customHeight="1" x14ac:dyDescent="0.2"/>
    <row r="112" s="64" customFormat="1" ht="16.5" customHeight="1" x14ac:dyDescent="0.2"/>
    <row r="113" s="64" customFormat="1" ht="16.5" customHeight="1" x14ac:dyDescent="0.2"/>
    <row r="114" s="64" customFormat="1" ht="16.5" customHeight="1" x14ac:dyDescent="0.2"/>
    <row r="115" s="64" customFormat="1" ht="16.5" customHeight="1" x14ac:dyDescent="0.2"/>
    <row r="116" s="64" customFormat="1" ht="16.5" customHeight="1" x14ac:dyDescent="0.2"/>
    <row r="117" s="64" customFormat="1" ht="16.5" customHeight="1" x14ac:dyDescent="0.2"/>
    <row r="118" s="64" customFormat="1" ht="16.5" customHeight="1" x14ac:dyDescent="0.2"/>
    <row r="119" s="64" customFormat="1" ht="16.5" customHeight="1" x14ac:dyDescent="0.2"/>
    <row r="120" s="64" customFormat="1" ht="16.5" customHeight="1" x14ac:dyDescent="0.2"/>
    <row r="121" s="64" customFormat="1" ht="16.5" customHeight="1" x14ac:dyDescent="0.2"/>
    <row r="122" s="64" customFormat="1" ht="16.5" customHeight="1" x14ac:dyDescent="0.2"/>
    <row r="123" s="64" customFormat="1" ht="16.5" customHeight="1" x14ac:dyDescent="0.2"/>
    <row r="124" s="64" customFormat="1" ht="16.5" customHeight="1" x14ac:dyDescent="0.2"/>
    <row r="125" s="64" customFormat="1" ht="16.5" customHeight="1" x14ac:dyDescent="0.2"/>
    <row r="126" s="64" customFormat="1" ht="16.5" customHeight="1" x14ac:dyDescent="0.2"/>
    <row r="127" s="64" customFormat="1" ht="16.5" customHeight="1" x14ac:dyDescent="0.2"/>
    <row r="128" s="64" customFormat="1" ht="16.5" customHeight="1" x14ac:dyDescent="0.2"/>
    <row r="129" s="64" customFormat="1" ht="16.5" customHeight="1" x14ac:dyDescent="0.2"/>
    <row r="130" s="64" customFormat="1" ht="16.5" customHeight="1" x14ac:dyDescent="0.2"/>
    <row r="131" s="64" customFormat="1" ht="16.5" customHeight="1" x14ac:dyDescent="0.2"/>
    <row r="132" s="64" customFormat="1" ht="16.5" customHeight="1" x14ac:dyDescent="0.2"/>
    <row r="133" s="64" customFormat="1" ht="16.5" customHeight="1" x14ac:dyDescent="0.2"/>
    <row r="134" ht="18" customHeight="1" x14ac:dyDescent="0.25"/>
    <row r="135" ht="15.75" customHeight="1" x14ac:dyDescent="0.25"/>
  </sheetData>
  <mergeCells count="12">
    <mergeCell ref="G6:G7"/>
    <mergeCell ref="K6:L6"/>
    <mergeCell ref="A6:A7"/>
    <mergeCell ref="B6:B7"/>
    <mergeCell ref="C6:C7"/>
    <mergeCell ref="E6:E7"/>
    <mergeCell ref="F6:F7"/>
    <mergeCell ref="A1:B3"/>
    <mergeCell ref="C1:M1"/>
    <mergeCell ref="C2:M2"/>
    <mergeCell ref="C3:I3"/>
    <mergeCell ref="L5:M5"/>
  </mergeCells>
  <conditionalFormatting sqref="A1 A5:B5 A134:A65536">
    <cfRule type="cellIs" dxfId="10" priority="9" operator="greaterThan">
      <formula>1</formula>
    </cfRule>
  </conditionalFormatting>
  <conditionalFormatting sqref="A6:A8">
    <cfRule type="cellIs" dxfId="9" priority="2" operator="greaterThan">
      <formula>1</formula>
    </cfRule>
  </conditionalFormatting>
  <conditionalFormatting sqref="A4:B4 L4:M4">
    <cfRule type="cellIs" dxfId="8" priority="10" operator="equal">
      <formula>12</formula>
    </cfRule>
    <cfRule type="cellIs" dxfId="7" priority="11" operator="equal">
      <formula>17</formula>
    </cfRule>
    <cfRule type="cellIs" dxfId="6" priority="12" operator="equal">
      <formula>5</formula>
    </cfRule>
  </conditionalFormatting>
  <conditionalFormatting sqref="C4:G5 C6 E6:G6 D6:D7 C8:G8 C134:G65536">
    <cfRule type="cellIs" dxfId="5" priority="8" operator="greaterThanOrEqual">
      <formula>0.01</formula>
    </cfRule>
  </conditionalFormatting>
  <conditionalFormatting sqref="J134">
    <cfRule type="cellIs" dxfId="4" priority="6" operator="greaterThanOrEqual">
      <formula>0</formula>
    </cfRule>
    <cfRule type="cellIs" dxfId="3" priority="7" operator="lessThan">
      <formula>0</formula>
    </cfRule>
  </conditionalFormatting>
  <conditionalFormatting sqref="K9:L133">
    <cfRule type="cellIs" dxfId="2" priority="5" operator="equal">
      <formula>0</formula>
    </cfRule>
  </conditionalFormatting>
  <conditionalFormatting sqref="M9:M134">
    <cfRule type="cellIs" dxfId="1" priority="3" operator="greaterThanOrEqual">
      <formula>0</formula>
    </cfRule>
    <cfRule type="cellIs" dxfId="0" priority="4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docMetadata/LabelInfo.xml><?xml version="1.0" encoding="utf-8"?>
<clbl:labelList xmlns:clbl="http://schemas.microsoft.com/office/2020/mipLabelMetadata">
  <clbl:label id="{5158a6de-9d9d-4062-9345-bb3c66042926}" enabled="1" method="Privileged" siteId="{a885b6ae-18db-434c-8b61-c6f655c3882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0008</vt:lpstr>
      <vt:lpstr>0009</vt:lpstr>
      <vt:lpstr>0011</vt:lpstr>
      <vt:lpstr>0022</vt:lpstr>
      <vt:lpstr>0044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dc:description/>
  <cp:lastModifiedBy>Carlos Alexandre Castro</cp:lastModifiedBy>
  <cp:revision>1</cp:revision>
  <dcterms:created xsi:type="dcterms:W3CDTF">2026-05-05T02:05:09Z</dcterms:created>
  <dcterms:modified xsi:type="dcterms:W3CDTF">2026-05-27T12:01:21Z</dcterms:modified>
  <dc:language>en-US</dc:language>
</cp:coreProperties>
</file>